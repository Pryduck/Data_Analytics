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188443-24EA-4715-8ACE-DEBFC8C5DFD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Результат запроса" sheetId="1" r:id="rId1"/>
    <sheet name="WAU" sheetId="2" r:id="rId2"/>
    <sheet name="MA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F2" i="1"/>
  <c r="E2" i="1"/>
  <c r="D121" i="1"/>
  <c r="D124" i="1"/>
  <c r="D249" i="1"/>
  <c r="D252" i="1"/>
  <c r="C74" i="1"/>
  <c r="C77" i="1"/>
  <c r="C202" i="1"/>
  <c r="C205" i="1"/>
  <c r="A3" i="3"/>
  <c r="A4" i="3"/>
  <c r="A5" i="3"/>
  <c r="A6" i="3"/>
  <c r="A7" i="3"/>
  <c r="A8" i="3"/>
  <c r="A9" i="3"/>
  <c r="A10" i="3"/>
  <c r="A11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2" i="2"/>
  <c r="H3" i="1"/>
  <c r="D3" i="1" s="1"/>
  <c r="H4" i="1"/>
  <c r="D4" i="1" s="1"/>
  <c r="H5" i="1"/>
  <c r="D5" i="1" s="1"/>
  <c r="H6" i="1"/>
  <c r="D6" i="1" s="1"/>
  <c r="H7" i="1"/>
  <c r="D7" i="1" s="1"/>
  <c r="H8" i="1"/>
  <c r="D8" i="1" s="1"/>
  <c r="H9" i="1"/>
  <c r="D9" i="1" s="1"/>
  <c r="H10" i="1"/>
  <c r="D10" i="1" s="1"/>
  <c r="H11" i="1"/>
  <c r="D11" i="1" s="1"/>
  <c r="H12" i="1"/>
  <c r="D12" i="1" s="1"/>
  <c r="H13" i="1"/>
  <c r="D13" i="1" s="1"/>
  <c r="H14" i="1"/>
  <c r="D14" i="1" s="1"/>
  <c r="H15" i="1"/>
  <c r="D15" i="1" s="1"/>
  <c r="H16" i="1"/>
  <c r="D16" i="1" s="1"/>
  <c r="H17" i="1"/>
  <c r="D17" i="1" s="1"/>
  <c r="H18" i="1"/>
  <c r="D18" i="1" s="1"/>
  <c r="H19" i="1"/>
  <c r="D19" i="1" s="1"/>
  <c r="H20" i="1"/>
  <c r="D20" i="1" s="1"/>
  <c r="H21" i="1"/>
  <c r="D21" i="1" s="1"/>
  <c r="H22" i="1"/>
  <c r="D22" i="1" s="1"/>
  <c r="H23" i="1"/>
  <c r="D23" i="1" s="1"/>
  <c r="H24" i="1"/>
  <c r="D24" i="1" s="1"/>
  <c r="H25" i="1"/>
  <c r="D25" i="1" s="1"/>
  <c r="H26" i="1"/>
  <c r="D26" i="1" s="1"/>
  <c r="H27" i="1"/>
  <c r="D27" i="1" s="1"/>
  <c r="H28" i="1"/>
  <c r="D28" i="1" s="1"/>
  <c r="H29" i="1"/>
  <c r="D29" i="1" s="1"/>
  <c r="H30" i="1"/>
  <c r="D30" i="1" s="1"/>
  <c r="H31" i="1"/>
  <c r="D31" i="1" s="1"/>
  <c r="H32" i="1"/>
  <c r="D32" i="1" s="1"/>
  <c r="H33" i="1"/>
  <c r="D33" i="1" s="1"/>
  <c r="H34" i="1"/>
  <c r="D34" i="1" s="1"/>
  <c r="H35" i="1"/>
  <c r="D35" i="1" s="1"/>
  <c r="H36" i="1"/>
  <c r="D36" i="1" s="1"/>
  <c r="H37" i="1"/>
  <c r="D37" i="1" s="1"/>
  <c r="H38" i="1"/>
  <c r="D38" i="1" s="1"/>
  <c r="H39" i="1"/>
  <c r="D39" i="1" s="1"/>
  <c r="H40" i="1"/>
  <c r="D40" i="1" s="1"/>
  <c r="H41" i="1"/>
  <c r="D41" i="1" s="1"/>
  <c r="H42" i="1"/>
  <c r="D42" i="1" s="1"/>
  <c r="H43" i="1"/>
  <c r="D43" i="1" s="1"/>
  <c r="H44" i="1"/>
  <c r="D44" i="1" s="1"/>
  <c r="H45" i="1"/>
  <c r="D45" i="1" s="1"/>
  <c r="H46" i="1"/>
  <c r="D46" i="1" s="1"/>
  <c r="H47" i="1"/>
  <c r="D47" i="1" s="1"/>
  <c r="H48" i="1"/>
  <c r="D48" i="1" s="1"/>
  <c r="H49" i="1"/>
  <c r="D49" i="1" s="1"/>
  <c r="H50" i="1"/>
  <c r="D50" i="1" s="1"/>
  <c r="H51" i="1"/>
  <c r="D51" i="1" s="1"/>
  <c r="H52" i="1"/>
  <c r="D52" i="1" s="1"/>
  <c r="H53" i="1"/>
  <c r="D53" i="1" s="1"/>
  <c r="H54" i="1"/>
  <c r="D54" i="1" s="1"/>
  <c r="H55" i="1"/>
  <c r="D55" i="1" s="1"/>
  <c r="H56" i="1"/>
  <c r="D56" i="1" s="1"/>
  <c r="H57" i="1"/>
  <c r="D57" i="1" s="1"/>
  <c r="H58" i="1"/>
  <c r="D58" i="1" s="1"/>
  <c r="H59" i="1"/>
  <c r="D59" i="1" s="1"/>
  <c r="H60" i="1"/>
  <c r="D60" i="1" s="1"/>
  <c r="H61" i="1"/>
  <c r="D61" i="1" s="1"/>
  <c r="H62" i="1"/>
  <c r="D62" i="1" s="1"/>
  <c r="H63" i="1"/>
  <c r="D63" i="1" s="1"/>
  <c r="H64" i="1"/>
  <c r="D64" i="1" s="1"/>
  <c r="H65" i="1"/>
  <c r="D65" i="1" s="1"/>
  <c r="H66" i="1"/>
  <c r="D66" i="1" s="1"/>
  <c r="H67" i="1"/>
  <c r="D67" i="1" s="1"/>
  <c r="H68" i="1"/>
  <c r="D68" i="1" s="1"/>
  <c r="H69" i="1"/>
  <c r="D69" i="1" s="1"/>
  <c r="H70" i="1"/>
  <c r="D70" i="1" s="1"/>
  <c r="H71" i="1"/>
  <c r="D71" i="1" s="1"/>
  <c r="H72" i="1"/>
  <c r="D72" i="1" s="1"/>
  <c r="H73" i="1"/>
  <c r="D73" i="1" s="1"/>
  <c r="H74" i="1"/>
  <c r="D74" i="1" s="1"/>
  <c r="H75" i="1"/>
  <c r="D75" i="1" s="1"/>
  <c r="H76" i="1"/>
  <c r="D76" i="1" s="1"/>
  <c r="H77" i="1"/>
  <c r="D77" i="1" s="1"/>
  <c r="H78" i="1"/>
  <c r="D78" i="1" s="1"/>
  <c r="H79" i="1"/>
  <c r="D79" i="1" s="1"/>
  <c r="H80" i="1"/>
  <c r="D80" i="1" s="1"/>
  <c r="H81" i="1"/>
  <c r="D81" i="1" s="1"/>
  <c r="H82" i="1"/>
  <c r="D82" i="1" s="1"/>
  <c r="H83" i="1"/>
  <c r="D83" i="1" s="1"/>
  <c r="H84" i="1"/>
  <c r="D84" i="1" s="1"/>
  <c r="H85" i="1"/>
  <c r="D85" i="1" s="1"/>
  <c r="H86" i="1"/>
  <c r="D86" i="1" s="1"/>
  <c r="H87" i="1"/>
  <c r="D87" i="1" s="1"/>
  <c r="H88" i="1"/>
  <c r="D88" i="1" s="1"/>
  <c r="H89" i="1"/>
  <c r="D89" i="1" s="1"/>
  <c r="H90" i="1"/>
  <c r="D90" i="1" s="1"/>
  <c r="H91" i="1"/>
  <c r="D91" i="1" s="1"/>
  <c r="H92" i="1"/>
  <c r="D92" i="1" s="1"/>
  <c r="H93" i="1"/>
  <c r="D93" i="1" s="1"/>
  <c r="H94" i="1"/>
  <c r="D94" i="1" s="1"/>
  <c r="H95" i="1"/>
  <c r="D95" i="1" s="1"/>
  <c r="H96" i="1"/>
  <c r="D96" i="1" s="1"/>
  <c r="H97" i="1"/>
  <c r="D97" i="1" s="1"/>
  <c r="H98" i="1"/>
  <c r="D98" i="1" s="1"/>
  <c r="H99" i="1"/>
  <c r="D99" i="1" s="1"/>
  <c r="H100" i="1"/>
  <c r="D100" i="1" s="1"/>
  <c r="H101" i="1"/>
  <c r="D101" i="1" s="1"/>
  <c r="H102" i="1"/>
  <c r="D102" i="1" s="1"/>
  <c r="H103" i="1"/>
  <c r="D103" i="1" s="1"/>
  <c r="H104" i="1"/>
  <c r="D104" i="1" s="1"/>
  <c r="H105" i="1"/>
  <c r="D105" i="1" s="1"/>
  <c r="H106" i="1"/>
  <c r="D106" i="1" s="1"/>
  <c r="H107" i="1"/>
  <c r="D107" i="1" s="1"/>
  <c r="H108" i="1"/>
  <c r="D108" i="1" s="1"/>
  <c r="H109" i="1"/>
  <c r="D109" i="1" s="1"/>
  <c r="H110" i="1"/>
  <c r="D110" i="1" s="1"/>
  <c r="H111" i="1"/>
  <c r="D111" i="1" s="1"/>
  <c r="H112" i="1"/>
  <c r="D112" i="1" s="1"/>
  <c r="H113" i="1"/>
  <c r="D113" i="1" s="1"/>
  <c r="H114" i="1"/>
  <c r="D114" i="1" s="1"/>
  <c r="H115" i="1"/>
  <c r="D115" i="1" s="1"/>
  <c r="H116" i="1"/>
  <c r="D116" i="1" s="1"/>
  <c r="H117" i="1"/>
  <c r="D117" i="1" s="1"/>
  <c r="H118" i="1"/>
  <c r="D118" i="1" s="1"/>
  <c r="H119" i="1"/>
  <c r="D119" i="1" s="1"/>
  <c r="H120" i="1"/>
  <c r="D120" i="1" s="1"/>
  <c r="H121" i="1"/>
  <c r="H122" i="1"/>
  <c r="D122" i="1" s="1"/>
  <c r="H123" i="1"/>
  <c r="D123" i="1" s="1"/>
  <c r="H124" i="1"/>
  <c r="H125" i="1"/>
  <c r="D125" i="1" s="1"/>
  <c r="H126" i="1"/>
  <c r="D126" i="1" s="1"/>
  <c r="H127" i="1"/>
  <c r="D127" i="1" s="1"/>
  <c r="H128" i="1"/>
  <c r="D128" i="1" s="1"/>
  <c r="H129" i="1"/>
  <c r="D129" i="1" s="1"/>
  <c r="H130" i="1"/>
  <c r="D130" i="1" s="1"/>
  <c r="H131" i="1"/>
  <c r="D131" i="1" s="1"/>
  <c r="H132" i="1"/>
  <c r="D132" i="1" s="1"/>
  <c r="H133" i="1"/>
  <c r="D133" i="1" s="1"/>
  <c r="H134" i="1"/>
  <c r="D134" i="1" s="1"/>
  <c r="H135" i="1"/>
  <c r="D135" i="1" s="1"/>
  <c r="H136" i="1"/>
  <c r="D136" i="1" s="1"/>
  <c r="H137" i="1"/>
  <c r="D137" i="1" s="1"/>
  <c r="H138" i="1"/>
  <c r="D138" i="1" s="1"/>
  <c r="H139" i="1"/>
  <c r="D139" i="1" s="1"/>
  <c r="H140" i="1"/>
  <c r="D140" i="1" s="1"/>
  <c r="H141" i="1"/>
  <c r="D141" i="1" s="1"/>
  <c r="H142" i="1"/>
  <c r="D142" i="1" s="1"/>
  <c r="H143" i="1"/>
  <c r="D143" i="1" s="1"/>
  <c r="H144" i="1"/>
  <c r="D144" i="1" s="1"/>
  <c r="H145" i="1"/>
  <c r="D145" i="1" s="1"/>
  <c r="H146" i="1"/>
  <c r="D146" i="1" s="1"/>
  <c r="H147" i="1"/>
  <c r="D147" i="1" s="1"/>
  <c r="H148" i="1"/>
  <c r="D148" i="1" s="1"/>
  <c r="H149" i="1"/>
  <c r="D149" i="1" s="1"/>
  <c r="H150" i="1"/>
  <c r="D150" i="1" s="1"/>
  <c r="H151" i="1"/>
  <c r="D151" i="1" s="1"/>
  <c r="H152" i="1"/>
  <c r="D152" i="1" s="1"/>
  <c r="H153" i="1"/>
  <c r="D153" i="1" s="1"/>
  <c r="H154" i="1"/>
  <c r="D154" i="1" s="1"/>
  <c r="H155" i="1"/>
  <c r="D155" i="1" s="1"/>
  <c r="H156" i="1"/>
  <c r="D156" i="1" s="1"/>
  <c r="H157" i="1"/>
  <c r="D157" i="1" s="1"/>
  <c r="H158" i="1"/>
  <c r="D158" i="1" s="1"/>
  <c r="H159" i="1"/>
  <c r="D159" i="1" s="1"/>
  <c r="H160" i="1"/>
  <c r="D160" i="1" s="1"/>
  <c r="H161" i="1"/>
  <c r="D161" i="1" s="1"/>
  <c r="H162" i="1"/>
  <c r="D162" i="1" s="1"/>
  <c r="H163" i="1"/>
  <c r="D163" i="1" s="1"/>
  <c r="H164" i="1"/>
  <c r="D164" i="1" s="1"/>
  <c r="H165" i="1"/>
  <c r="D165" i="1" s="1"/>
  <c r="H166" i="1"/>
  <c r="D166" i="1" s="1"/>
  <c r="H167" i="1"/>
  <c r="D167" i="1" s="1"/>
  <c r="H168" i="1"/>
  <c r="D168" i="1" s="1"/>
  <c r="H169" i="1"/>
  <c r="D169" i="1" s="1"/>
  <c r="H170" i="1"/>
  <c r="D170" i="1" s="1"/>
  <c r="H171" i="1"/>
  <c r="D171" i="1" s="1"/>
  <c r="H172" i="1"/>
  <c r="D172" i="1" s="1"/>
  <c r="H173" i="1"/>
  <c r="D173" i="1" s="1"/>
  <c r="H174" i="1"/>
  <c r="D174" i="1" s="1"/>
  <c r="H175" i="1"/>
  <c r="D175" i="1" s="1"/>
  <c r="H176" i="1"/>
  <c r="D176" i="1" s="1"/>
  <c r="H177" i="1"/>
  <c r="D177" i="1" s="1"/>
  <c r="H178" i="1"/>
  <c r="D178" i="1" s="1"/>
  <c r="H179" i="1"/>
  <c r="D179" i="1" s="1"/>
  <c r="H180" i="1"/>
  <c r="D180" i="1" s="1"/>
  <c r="H181" i="1"/>
  <c r="D181" i="1" s="1"/>
  <c r="H182" i="1"/>
  <c r="D182" i="1" s="1"/>
  <c r="H183" i="1"/>
  <c r="D183" i="1" s="1"/>
  <c r="H184" i="1"/>
  <c r="D184" i="1" s="1"/>
  <c r="H185" i="1"/>
  <c r="D185" i="1" s="1"/>
  <c r="H186" i="1"/>
  <c r="D186" i="1" s="1"/>
  <c r="H187" i="1"/>
  <c r="D187" i="1" s="1"/>
  <c r="H188" i="1"/>
  <c r="D188" i="1" s="1"/>
  <c r="H189" i="1"/>
  <c r="D189" i="1" s="1"/>
  <c r="H190" i="1"/>
  <c r="D190" i="1" s="1"/>
  <c r="H191" i="1"/>
  <c r="D191" i="1" s="1"/>
  <c r="H192" i="1"/>
  <c r="D192" i="1" s="1"/>
  <c r="H193" i="1"/>
  <c r="D193" i="1" s="1"/>
  <c r="H194" i="1"/>
  <c r="D194" i="1" s="1"/>
  <c r="H195" i="1"/>
  <c r="D195" i="1" s="1"/>
  <c r="H196" i="1"/>
  <c r="D196" i="1" s="1"/>
  <c r="H197" i="1"/>
  <c r="D197" i="1" s="1"/>
  <c r="H198" i="1"/>
  <c r="D198" i="1" s="1"/>
  <c r="H199" i="1"/>
  <c r="D199" i="1" s="1"/>
  <c r="H200" i="1"/>
  <c r="D200" i="1" s="1"/>
  <c r="H201" i="1"/>
  <c r="D201" i="1" s="1"/>
  <c r="H202" i="1"/>
  <c r="D202" i="1" s="1"/>
  <c r="H203" i="1"/>
  <c r="D203" i="1" s="1"/>
  <c r="H204" i="1"/>
  <c r="D204" i="1" s="1"/>
  <c r="H205" i="1"/>
  <c r="D205" i="1" s="1"/>
  <c r="H206" i="1"/>
  <c r="D206" i="1" s="1"/>
  <c r="H207" i="1"/>
  <c r="D207" i="1" s="1"/>
  <c r="H208" i="1"/>
  <c r="D208" i="1" s="1"/>
  <c r="H209" i="1"/>
  <c r="D209" i="1" s="1"/>
  <c r="H210" i="1"/>
  <c r="D210" i="1" s="1"/>
  <c r="H211" i="1"/>
  <c r="D211" i="1" s="1"/>
  <c r="H212" i="1"/>
  <c r="D212" i="1" s="1"/>
  <c r="H213" i="1"/>
  <c r="D213" i="1" s="1"/>
  <c r="H214" i="1"/>
  <c r="D214" i="1" s="1"/>
  <c r="H215" i="1"/>
  <c r="D215" i="1" s="1"/>
  <c r="H216" i="1"/>
  <c r="D216" i="1" s="1"/>
  <c r="H217" i="1"/>
  <c r="D217" i="1" s="1"/>
  <c r="H218" i="1"/>
  <c r="D218" i="1" s="1"/>
  <c r="H219" i="1"/>
  <c r="D219" i="1" s="1"/>
  <c r="H220" i="1"/>
  <c r="D220" i="1" s="1"/>
  <c r="H221" i="1"/>
  <c r="D221" i="1" s="1"/>
  <c r="H222" i="1"/>
  <c r="D222" i="1" s="1"/>
  <c r="H223" i="1"/>
  <c r="D223" i="1" s="1"/>
  <c r="H224" i="1"/>
  <c r="D224" i="1" s="1"/>
  <c r="H225" i="1"/>
  <c r="D225" i="1" s="1"/>
  <c r="H226" i="1"/>
  <c r="D226" i="1" s="1"/>
  <c r="H227" i="1"/>
  <c r="D227" i="1" s="1"/>
  <c r="H228" i="1"/>
  <c r="D228" i="1" s="1"/>
  <c r="H229" i="1"/>
  <c r="D229" i="1" s="1"/>
  <c r="H230" i="1"/>
  <c r="D230" i="1" s="1"/>
  <c r="H231" i="1"/>
  <c r="D231" i="1" s="1"/>
  <c r="H232" i="1"/>
  <c r="D232" i="1" s="1"/>
  <c r="H233" i="1"/>
  <c r="D233" i="1" s="1"/>
  <c r="H234" i="1"/>
  <c r="D234" i="1" s="1"/>
  <c r="H235" i="1"/>
  <c r="D235" i="1" s="1"/>
  <c r="H236" i="1"/>
  <c r="D236" i="1" s="1"/>
  <c r="H237" i="1"/>
  <c r="D237" i="1" s="1"/>
  <c r="H238" i="1"/>
  <c r="D238" i="1" s="1"/>
  <c r="H239" i="1"/>
  <c r="D239" i="1" s="1"/>
  <c r="H240" i="1"/>
  <c r="D240" i="1" s="1"/>
  <c r="H241" i="1"/>
  <c r="D241" i="1" s="1"/>
  <c r="H242" i="1"/>
  <c r="D242" i="1" s="1"/>
  <c r="H243" i="1"/>
  <c r="D243" i="1" s="1"/>
  <c r="H244" i="1"/>
  <c r="D244" i="1" s="1"/>
  <c r="H245" i="1"/>
  <c r="D245" i="1" s="1"/>
  <c r="H246" i="1"/>
  <c r="D246" i="1" s="1"/>
  <c r="H247" i="1"/>
  <c r="D247" i="1" s="1"/>
  <c r="H248" i="1"/>
  <c r="D248" i="1" s="1"/>
  <c r="H249" i="1"/>
  <c r="H250" i="1"/>
  <c r="D250" i="1" s="1"/>
  <c r="H251" i="1"/>
  <c r="D251" i="1" s="1"/>
  <c r="H252" i="1"/>
  <c r="H253" i="1"/>
  <c r="D253" i="1" s="1"/>
  <c r="H254" i="1"/>
  <c r="D254" i="1" s="1"/>
  <c r="H255" i="1"/>
  <c r="D255" i="1" s="1"/>
  <c r="H256" i="1"/>
  <c r="D256" i="1" s="1"/>
  <c r="H257" i="1"/>
  <c r="D257" i="1" s="1"/>
  <c r="H258" i="1"/>
  <c r="D258" i="1" s="1"/>
  <c r="H259" i="1"/>
  <c r="D259" i="1" s="1"/>
  <c r="H260" i="1"/>
  <c r="D260" i="1" s="1"/>
  <c r="H261" i="1"/>
  <c r="D261" i="1" s="1"/>
  <c r="H262" i="1"/>
  <c r="D262" i="1" s="1"/>
  <c r="H263" i="1"/>
  <c r="D263" i="1" s="1"/>
  <c r="H264" i="1"/>
  <c r="D264" i="1" s="1"/>
  <c r="H265" i="1"/>
  <c r="D265" i="1" s="1"/>
  <c r="H266" i="1"/>
  <c r="D266" i="1" s="1"/>
  <c r="H267" i="1"/>
  <c r="D267" i="1" s="1"/>
  <c r="H268" i="1"/>
  <c r="D268" i="1" s="1"/>
  <c r="H269" i="1"/>
  <c r="D269" i="1" s="1"/>
  <c r="H270" i="1"/>
  <c r="D270" i="1" s="1"/>
  <c r="H271" i="1"/>
  <c r="D271" i="1" s="1"/>
  <c r="H272" i="1"/>
  <c r="D272" i="1" s="1"/>
  <c r="H273" i="1"/>
  <c r="D273" i="1" s="1"/>
  <c r="H274" i="1"/>
  <c r="D274" i="1" s="1"/>
  <c r="H275" i="1"/>
  <c r="D275" i="1" s="1"/>
  <c r="H276" i="1"/>
  <c r="D276" i="1" s="1"/>
  <c r="H277" i="1"/>
  <c r="D277" i="1" s="1"/>
  <c r="H278" i="1"/>
  <c r="D278" i="1" s="1"/>
  <c r="H279" i="1"/>
  <c r="D279" i="1" s="1"/>
  <c r="H280" i="1"/>
  <c r="D280" i="1" s="1"/>
  <c r="H281" i="1"/>
  <c r="D281" i="1" s="1"/>
  <c r="H282" i="1"/>
  <c r="D282" i="1" s="1"/>
  <c r="H283" i="1"/>
  <c r="D283" i="1" s="1"/>
  <c r="H284" i="1"/>
  <c r="D284" i="1" s="1"/>
  <c r="H285" i="1"/>
  <c r="D285" i="1" s="1"/>
  <c r="H286" i="1"/>
  <c r="D286" i="1" s="1"/>
  <c r="H287" i="1"/>
  <c r="D287" i="1" s="1"/>
  <c r="H288" i="1"/>
  <c r="D288" i="1" s="1"/>
  <c r="H289" i="1"/>
  <c r="D289" i="1" s="1"/>
  <c r="H290" i="1"/>
  <c r="D290" i="1" s="1"/>
  <c r="H291" i="1"/>
  <c r="D291" i="1" s="1"/>
  <c r="H292" i="1"/>
  <c r="D292" i="1" s="1"/>
  <c r="H293" i="1"/>
  <c r="D293" i="1" s="1"/>
  <c r="H294" i="1"/>
  <c r="D294" i="1" s="1"/>
  <c r="H295" i="1"/>
  <c r="D295" i="1" s="1"/>
  <c r="H296" i="1"/>
  <c r="D296" i="1" s="1"/>
  <c r="H297" i="1"/>
  <c r="D297" i="1" s="1"/>
  <c r="H298" i="1"/>
  <c r="D298" i="1" s="1"/>
  <c r="H299" i="1"/>
  <c r="D299" i="1" s="1"/>
  <c r="H300" i="1"/>
  <c r="D300" i="1" s="1"/>
  <c r="H301" i="1"/>
  <c r="D301" i="1" s="1"/>
  <c r="H302" i="1"/>
  <c r="D302" i="1" s="1"/>
  <c r="H303" i="1"/>
  <c r="D303" i="1" s="1"/>
  <c r="H304" i="1"/>
  <c r="D304" i="1" s="1"/>
  <c r="H2" i="1"/>
  <c r="D2" i="1" s="1"/>
  <c r="G3" i="1"/>
  <c r="C3" i="1" s="1"/>
  <c r="G4" i="1"/>
  <c r="C4" i="1" s="1"/>
  <c r="G5" i="1"/>
  <c r="C5" i="1" s="1"/>
  <c r="G6" i="1"/>
  <c r="C6" i="1" s="1"/>
  <c r="G7" i="1"/>
  <c r="C7" i="1" s="1"/>
  <c r="G8" i="1"/>
  <c r="C8" i="1" s="1"/>
  <c r="G9" i="1"/>
  <c r="C9" i="1" s="1"/>
  <c r="G10" i="1"/>
  <c r="C10" i="1" s="1"/>
  <c r="G11" i="1"/>
  <c r="C11" i="1" s="1"/>
  <c r="G12" i="1"/>
  <c r="C12" i="1" s="1"/>
  <c r="G13" i="1"/>
  <c r="C13" i="1" s="1"/>
  <c r="G14" i="1"/>
  <c r="C14" i="1" s="1"/>
  <c r="G15" i="1"/>
  <c r="C15" i="1" s="1"/>
  <c r="G16" i="1"/>
  <c r="C16" i="1" s="1"/>
  <c r="G17" i="1"/>
  <c r="C17" i="1" s="1"/>
  <c r="G18" i="1"/>
  <c r="C18" i="1" s="1"/>
  <c r="G19" i="1"/>
  <c r="C19" i="1" s="1"/>
  <c r="G20" i="1"/>
  <c r="C20" i="1" s="1"/>
  <c r="G21" i="1"/>
  <c r="C21" i="1" s="1"/>
  <c r="G22" i="1"/>
  <c r="C22" i="1" s="1"/>
  <c r="G23" i="1"/>
  <c r="C23" i="1" s="1"/>
  <c r="G24" i="1"/>
  <c r="C24" i="1" s="1"/>
  <c r="G25" i="1"/>
  <c r="C25" i="1" s="1"/>
  <c r="G26" i="1"/>
  <c r="C26" i="1" s="1"/>
  <c r="G27" i="1"/>
  <c r="C27" i="1" s="1"/>
  <c r="G28" i="1"/>
  <c r="C28" i="1" s="1"/>
  <c r="G29" i="1"/>
  <c r="C29" i="1" s="1"/>
  <c r="G30" i="1"/>
  <c r="C30" i="1" s="1"/>
  <c r="G31" i="1"/>
  <c r="C31" i="1" s="1"/>
  <c r="G32" i="1"/>
  <c r="C32" i="1" s="1"/>
  <c r="G33" i="1"/>
  <c r="C33" i="1" s="1"/>
  <c r="G34" i="1"/>
  <c r="C34" i="1" s="1"/>
  <c r="G35" i="1"/>
  <c r="C35" i="1" s="1"/>
  <c r="G36" i="1"/>
  <c r="C36" i="1" s="1"/>
  <c r="G37" i="1"/>
  <c r="C37" i="1" s="1"/>
  <c r="G38" i="1"/>
  <c r="C38" i="1" s="1"/>
  <c r="G39" i="1"/>
  <c r="C39" i="1" s="1"/>
  <c r="G40" i="1"/>
  <c r="C40" i="1" s="1"/>
  <c r="G41" i="1"/>
  <c r="C41" i="1" s="1"/>
  <c r="G42" i="1"/>
  <c r="C42" i="1" s="1"/>
  <c r="G43" i="1"/>
  <c r="C43" i="1" s="1"/>
  <c r="G44" i="1"/>
  <c r="C44" i="1" s="1"/>
  <c r="G45" i="1"/>
  <c r="C45" i="1" s="1"/>
  <c r="G46" i="1"/>
  <c r="C46" i="1" s="1"/>
  <c r="G47" i="1"/>
  <c r="C47" i="1" s="1"/>
  <c r="G48" i="1"/>
  <c r="C48" i="1" s="1"/>
  <c r="G49" i="1"/>
  <c r="C49" i="1" s="1"/>
  <c r="G50" i="1"/>
  <c r="C50" i="1" s="1"/>
  <c r="G51" i="1"/>
  <c r="C51" i="1" s="1"/>
  <c r="G52" i="1"/>
  <c r="C52" i="1" s="1"/>
  <c r="G53" i="1"/>
  <c r="C53" i="1" s="1"/>
  <c r="G54" i="1"/>
  <c r="C54" i="1" s="1"/>
  <c r="G55" i="1"/>
  <c r="C55" i="1" s="1"/>
  <c r="G56" i="1"/>
  <c r="C56" i="1" s="1"/>
  <c r="G57" i="1"/>
  <c r="C57" i="1" s="1"/>
  <c r="G58" i="1"/>
  <c r="C58" i="1" s="1"/>
  <c r="G59" i="1"/>
  <c r="C59" i="1" s="1"/>
  <c r="G60" i="1"/>
  <c r="C60" i="1" s="1"/>
  <c r="G61" i="1"/>
  <c r="C61" i="1" s="1"/>
  <c r="G62" i="1"/>
  <c r="C62" i="1" s="1"/>
  <c r="G63" i="1"/>
  <c r="C63" i="1" s="1"/>
  <c r="G64" i="1"/>
  <c r="C64" i="1" s="1"/>
  <c r="G65" i="1"/>
  <c r="C65" i="1" s="1"/>
  <c r="G66" i="1"/>
  <c r="C66" i="1" s="1"/>
  <c r="G67" i="1"/>
  <c r="C67" i="1" s="1"/>
  <c r="G68" i="1"/>
  <c r="C68" i="1" s="1"/>
  <c r="G69" i="1"/>
  <c r="C69" i="1" s="1"/>
  <c r="G70" i="1"/>
  <c r="C70" i="1" s="1"/>
  <c r="G71" i="1"/>
  <c r="C71" i="1" s="1"/>
  <c r="G72" i="1"/>
  <c r="C72" i="1" s="1"/>
  <c r="G73" i="1"/>
  <c r="C73" i="1" s="1"/>
  <c r="G74" i="1"/>
  <c r="G75" i="1"/>
  <c r="C75" i="1" s="1"/>
  <c r="G76" i="1"/>
  <c r="C76" i="1" s="1"/>
  <c r="G77" i="1"/>
  <c r="G78" i="1"/>
  <c r="C78" i="1" s="1"/>
  <c r="G79" i="1"/>
  <c r="C79" i="1" s="1"/>
  <c r="G80" i="1"/>
  <c r="C80" i="1" s="1"/>
  <c r="G81" i="1"/>
  <c r="C81" i="1" s="1"/>
  <c r="G82" i="1"/>
  <c r="C82" i="1" s="1"/>
  <c r="G83" i="1"/>
  <c r="C83" i="1" s="1"/>
  <c r="G84" i="1"/>
  <c r="C84" i="1" s="1"/>
  <c r="G85" i="1"/>
  <c r="C85" i="1" s="1"/>
  <c r="G86" i="1"/>
  <c r="C86" i="1" s="1"/>
  <c r="G87" i="1"/>
  <c r="C87" i="1" s="1"/>
  <c r="G88" i="1"/>
  <c r="C88" i="1" s="1"/>
  <c r="G89" i="1"/>
  <c r="C89" i="1" s="1"/>
  <c r="G90" i="1"/>
  <c r="C90" i="1" s="1"/>
  <c r="G91" i="1"/>
  <c r="C91" i="1" s="1"/>
  <c r="G92" i="1"/>
  <c r="C92" i="1" s="1"/>
  <c r="G93" i="1"/>
  <c r="C93" i="1" s="1"/>
  <c r="G94" i="1"/>
  <c r="C94" i="1" s="1"/>
  <c r="G95" i="1"/>
  <c r="C95" i="1" s="1"/>
  <c r="G96" i="1"/>
  <c r="C96" i="1" s="1"/>
  <c r="G97" i="1"/>
  <c r="C97" i="1" s="1"/>
  <c r="G98" i="1"/>
  <c r="C98" i="1" s="1"/>
  <c r="G99" i="1"/>
  <c r="C99" i="1" s="1"/>
  <c r="G100" i="1"/>
  <c r="C100" i="1" s="1"/>
  <c r="G101" i="1"/>
  <c r="C101" i="1" s="1"/>
  <c r="G102" i="1"/>
  <c r="C102" i="1" s="1"/>
  <c r="G103" i="1"/>
  <c r="C103" i="1" s="1"/>
  <c r="G104" i="1"/>
  <c r="C104" i="1" s="1"/>
  <c r="G105" i="1"/>
  <c r="C105" i="1" s="1"/>
  <c r="G106" i="1"/>
  <c r="C106" i="1" s="1"/>
  <c r="G107" i="1"/>
  <c r="C107" i="1" s="1"/>
  <c r="G108" i="1"/>
  <c r="C108" i="1" s="1"/>
  <c r="G109" i="1"/>
  <c r="C109" i="1" s="1"/>
  <c r="G110" i="1"/>
  <c r="C110" i="1" s="1"/>
  <c r="G111" i="1"/>
  <c r="C111" i="1" s="1"/>
  <c r="G112" i="1"/>
  <c r="C112" i="1" s="1"/>
  <c r="G113" i="1"/>
  <c r="C113" i="1" s="1"/>
  <c r="G114" i="1"/>
  <c r="C114" i="1" s="1"/>
  <c r="G115" i="1"/>
  <c r="C115" i="1" s="1"/>
  <c r="G116" i="1"/>
  <c r="C116" i="1" s="1"/>
  <c r="G117" i="1"/>
  <c r="C117" i="1" s="1"/>
  <c r="G118" i="1"/>
  <c r="C118" i="1" s="1"/>
  <c r="G119" i="1"/>
  <c r="C119" i="1" s="1"/>
  <c r="G120" i="1"/>
  <c r="C120" i="1" s="1"/>
  <c r="G121" i="1"/>
  <c r="C121" i="1" s="1"/>
  <c r="G122" i="1"/>
  <c r="C122" i="1" s="1"/>
  <c r="G123" i="1"/>
  <c r="C123" i="1" s="1"/>
  <c r="G124" i="1"/>
  <c r="C124" i="1" s="1"/>
  <c r="G125" i="1"/>
  <c r="C125" i="1" s="1"/>
  <c r="G126" i="1"/>
  <c r="C126" i="1" s="1"/>
  <c r="G127" i="1"/>
  <c r="C127" i="1" s="1"/>
  <c r="G128" i="1"/>
  <c r="C128" i="1" s="1"/>
  <c r="G129" i="1"/>
  <c r="C129" i="1" s="1"/>
  <c r="G130" i="1"/>
  <c r="C130" i="1" s="1"/>
  <c r="G131" i="1"/>
  <c r="C131" i="1" s="1"/>
  <c r="G132" i="1"/>
  <c r="C132" i="1" s="1"/>
  <c r="G133" i="1"/>
  <c r="C133" i="1" s="1"/>
  <c r="G134" i="1"/>
  <c r="C134" i="1" s="1"/>
  <c r="G135" i="1"/>
  <c r="C135" i="1" s="1"/>
  <c r="G136" i="1"/>
  <c r="C136" i="1" s="1"/>
  <c r="G137" i="1"/>
  <c r="C137" i="1" s="1"/>
  <c r="G138" i="1"/>
  <c r="C138" i="1" s="1"/>
  <c r="G139" i="1"/>
  <c r="C139" i="1" s="1"/>
  <c r="G140" i="1"/>
  <c r="C140" i="1" s="1"/>
  <c r="G141" i="1"/>
  <c r="C141" i="1" s="1"/>
  <c r="G142" i="1"/>
  <c r="C142" i="1" s="1"/>
  <c r="G143" i="1"/>
  <c r="C143" i="1" s="1"/>
  <c r="G144" i="1"/>
  <c r="C144" i="1" s="1"/>
  <c r="G145" i="1"/>
  <c r="C145" i="1" s="1"/>
  <c r="G146" i="1"/>
  <c r="C146" i="1" s="1"/>
  <c r="G147" i="1"/>
  <c r="C147" i="1" s="1"/>
  <c r="G148" i="1"/>
  <c r="C148" i="1" s="1"/>
  <c r="G149" i="1"/>
  <c r="C149" i="1" s="1"/>
  <c r="G150" i="1"/>
  <c r="C150" i="1" s="1"/>
  <c r="G151" i="1"/>
  <c r="C151" i="1" s="1"/>
  <c r="G152" i="1"/>
  <c r="C152" i="1" s="1"/>
  <c r="G153" i="1"/>
  <c r="C153" i="1" s="1"/>
  <c r="G154" i="1"/>
  <c r="C154" i="1" s="1"/>
  <c r="G155" i="1"/>
  <c r="C155" i="1" s="1"/>
  <c r="G156" i="1"/>
  <c r="C156" i="1" s="1"/>
  <c r="G157" i="1"/>
  <c r="C157" i="1" s="1"/>
  <c r="G158" i="1"/>
  <c r="C158" i="1" s="1"/>
  <c r="G159" i="1"/>
  <c r="C159" i="1" s="1"/>
  <c r="G160" i="1"/>
  <c r="C160" i="1" s="1"/>
  <c r="G161" i="1"/>
  <c r="C161" i="1" s="1"/>
  <c r="G162" i="1"/>
  <c r="C162" i="1" s="1"/>
  <c r="G163" i="1"/>
  <c r="C163" i="1" s="1"/>
  <c r="G164" i="1"/>
  <c r="C164" i="1" s="1"/>
  <c r="G165" i="1"/>
  <c r="C165" i="1" s="1"/>
  <c r="G166" i="1"/>
  <c r="C166" i="1" s="1"/>
  <c r="G167" i="1"/>
  <c r="C167" i="1" s="1"/>
  <c r="G168" i="1"/>
  <c r="C168" i="1" s="1"/>
  <c r="G169" i="1"/>
  <c r="C169" i="1" s="1"/>
  <c r="G170" i="1"/>
  <c r="C170" i="1" s="1"/>
  <c r="G171" i="1"/>
  <c r="C171" i="1" s="1"/>
  <c r="G172" i="1"/>
  <c r="C172" i="1" s="1"/>
  <c r="G173" i="1"/>
  <c r="C173" i="1" s="1"/>
  <c r="G174" i="1"/>
  <c r="C174" i="1" s="1"/>
  <c r="G175" i="1"/>
  <c r="C175" i="1" s="1"/>
  <c r="G176" i="1"/>
  <c r="C176" i="1" s="1"/>
  <c r="G177" i="1"/>
  <c r="C177" i="1" s="1"/>
  <c r="G178" i="1"/>
  <c r="C178" i="1" s="1"/>
  <c r="G179" i="1"/>
  <c r="C179" i="1" s="1"/>
  <c r="G180" i="1"/>
  <c r="C180" i="1" s="1"/>
  <c r="G181" i="1"/>
  <c r="C181" i="1" s="1"/>
  <c r="G182" i="1"/>
  <c r="C182" i="1" s="1"/>
  <c r="G183" i="1"/>
  <c r="C183" i="1" s="1"/>
  <c r="G184" i="1"/>
  <c r="C184" i="1" s="1"/>
  <c r="G185" i="1"/>
  <c r="C185" i="1" s="1"/>
  <c r="G186" i="1"/>
  <c r="C186" i="1" s="1"/>
  <c r="G187" i="1"/>
  <c r="C187" i="1" s="1"/>
  <c r="G188" i="1"/>
  <c r="C188" i="1" s="1"/>
  <c r="G189" i="1"/>
  <c r="C189" i="1" s="1"/>
  <c r="G190" i="1"/>
  <c r="C190" i="1" s="1"/>
  <c r="G191" i="1"/>
  <c r="C191" i="1" s="1"/>
  <c r="G192" i="1"/>
  <c r="C192" i="1" s="1"/>
  <c r="G193" i="1"/>
  <c r="C193" i="1" s="1"/>
  <c r="G194" i="1"/>
  <c r="C194" i="1" s="1"/>
  <c r="G195" i="1"/>
  <c r="C195" i="1" s="1"/>
  <c r="G196" i="1"/>
  <c r="C196" i="1" s="1"/>
  <c r="G197" i="1"/>
  <c r="C197" i="1" s="1"/>
  <c r="G198" i="1"/>
  <c r="C198" i="1" s="1"/>
  <c r="G199" i="1"/>
  <c r="C199" i="1" s="1"/>
  <c r="G200" i="1"/>
  <c r="C200" i="1" s="1"/>
  <c r="G201" i="1"/>
  <c r="C201" i="1" s="1"/>
  <c r="G202" i="1"/>
  <c r="G203" i="1"/>
  <c r="C203" i="1" s="1"/>
  <c r="G204" i="1"/>
  <c r="C204" i="1" s="1"/>
  <c r="G205" i="1"/>
  <c r="G206" i="1"/>
  <c r="C206" i="1" s="1"/>
  <c r="G207" i="1"/>
  <c r="C207" i="1" s="1"/>
  <c r="G208" i="1"/>
  <c r="C208" i="1" s="1"/>
  <c r="G209" i="1"/>
  <c r="C209" i="1" s="1"/>
  <c r="G210" i="1"/>
  <c r="C210" i="1" s="1"/>
  <c r="G211" i="1"/>
  <c r="C211" i="1" s="1"/>
  <c r="G212" i="1"/>
  <c r="C212" i="1" s="1"/>
  <c r="G213" i="1"/>
  <c r="C213" i="1" s="1"/>
  <c r="G214" i="1"/>
  <c r="C214" i="1" s="1"/>
  <c r="G215" i="1"/>
  <c r="C215" i="1" s="1"/>
  <c r="G216" i="1"/>
  <c r="C216" i="1" s="1"/>
  <c r="G217" i="1"/>
  <c r="C217" i="1" s="1"/>
  <c r="G218" i="1"/>
  <c r="C218" i="1" s="1"/>
  <c r="G219" i="1"/>
  <c r="C219" i="1" s="1"/>
  <c r="G220" i="1"/>
  <c r="C220" i="1" s="1"/>
  <c r="G221" i="1"/>
  <c r="C221" i="1" s="1"/>
  <c r="G222" i="1"/>
  <c r="C222" i="1" s="1"/>
  <c r="G223" i="1"/>
  <c r="C223" i="1" s="1"/>
  <c r="G224" i="1"/>
  <c r="C224" i="1" s="1"/>
  <c r="G225" i="1"/>
  <c r="C225" i="1" s="1"/>
  <c r="G226" i="1"/>
  <c r="C226" i="1" s="1"/>
  <c r="G227" i="1"/>
  <c r="C227" i="1" s="1"/>
  <c r="G228" i="1"/>
  <c r="C228" i="1" s="1"/>
  <c r="G229" i="1"/>
  <c r="C229" i="1" s="1"/>
  <c r="G230" i="1"/>
  <c r="C230" i="1" s="1"/>
  <c r="G231" i="1"/>
  <c r="C231" i="1" s="1"/>
  <c r="G232" i="1"/>
  <c r="C232" i="1" s="1"/>
  <c r="G233" i="1"/>
  <c r="C233" i="1" s="1"/>
  <c r="G234" i="1"/>
  <c r="C234" i="1" s="1"/>
  <c r="G235" i="1"/>
  <c r="C235" i="1" s="1"/>
  <c r="G236" i="1"/>
  <c r="C236" i="1" s="1"/>
  <c r="G237" i="1"/>
  <c r="C237" i="1" s="1"/>
  <c r="G238" i="1"/>
  <c r="C238" i="1" s="1"/>
  <c r="G239" i="1"/>
  <c r="C239" i="1" s="1"/>
  <c r="G240" i="1"/>
  <c r="C240" i="1" s="1"/>
  <c r="G241" i="1"/>
  <c r="C241" i="1" s="1"/>
  <c r="G242" i="1"/>
  <c r="C242" i="1" s="1"/>
  <c r="G243" i="1"/>
  <c r="C243" i="1" s="1"/>
  <c r="G244" i="1"/>
  <c r="C244" i="1" s="1"/>
  <c r="G245" i="1"/>
  <c r="C245" i="1" s="1"/>
  <c r="G246" i="1"/>
  <c r="C246" i="1" s="1"/>
  <c r="G247" i="1"/>
  <c r="C247" i="1" s="1"/>
  <c r="G248" i="1"/>
  <c r="C248" i="1" s="1"/>
  <c r="G249" i="1"/>
  <c r="C249" i="1" s="1"/>
  <c r="G250" i="1"/>
  <c r="C250" i="1" s="1"/>
  <c r="G251" i="1"/>
  <c r="C251" i="1" s="1"/>
  <c r="G252" i="1"/>
  <c r="C252" i="1" s="1"/>
  <c r="G253" i="1"/>
  <c r="C253" i="1" s="1"/>
  <c r="G254" i="1"/>
  <c r="C254" i="1" s="1"/>
  <c r="G255" i="1"/>
  <c r="C255" i="1" s="1"/>
  <c r="G256" i="1"/>
  <c r="C256" i="1" s="1"/>
  <c r="G257" i="1"/>
  <c r="C257" i="1" s="1"/>
  <c r="G258" i="1"/>
  <c r="C258" i="1" s="1"/>
  <c r="G259" i="1"/>
  <c r="C259" i="1" s="1"/>
  <c r="G260" i="1"/>
  <c r="C260" i="1" s="1"/>
  <c r="G261" i="1"/>
  <c r="C261" i="1" s="1"/>
  <c r="G262" i="1"/>
  <c r="C262" i="1" s="1"/>
  <c r="G263" i="1"/>
  <c r="C263" i="1" s="1"/>
  <c r="G264" i="1"/>
  <c r="C264" i="1" s="1"/>
  <c r="G265" i="1"/>
  <c r="C265" i="1" s="1"/>
  <c r="G266" i="1"/>
  <c r="C266" i="1" s="1"/>
  <c r="G267" i="1"/>
  <c r="C267" i="1" s="1"/>
  <c r="G268" i="1"/>
  <c r="C268" i="1" s="1"/>
  <c r="G269" i="1"/>
  <c r="C269" i="1" s="1"/>
  <c r="G270" i="1"/>
  <c r="C270" i="1" s="1"/>
  <c r="G271" i="1"/>
  <c r="C271" i="1" s="1"/>
  <c r="G272" i="1"/>
  <c r="C272" i="1" s="1"/>
  <c r="G273" i="1"/>
  <c r="C273" i="1" s="1"/>
  <c r="G274" i="1"/>
  <c r="C274" i="1" s="1"/>
  <c r="G275" i="1"/>
  <c r="C275" i="1" s="1"/>
  <c r="G276" i="1"/>
  <c r="C276" i="1" s="1"/>
  <c r="G277" i="1"/>
  <c r="C277" i="1" s="1"/>
  <c r="G278" i="1"/>
  <c r="C278" i="1" s="1"/>
  <c r="G279" i="1"/>
  <c r="C279" i="1" s="1"/>
  <c r="G280" i="1"/>
  <c r="C280" i="1" s="1"/>
  <c r="G281" i="1"/>
  <c r="C281" i="1" s="1"/>
  <c r="G282" i="1"/>
  <c r="C282" i="1" s="1"/>
  <c r="G283" i="1"/>
  <c r="C283" i="1" s="1"/>
  <c r="G284" i="1"/>
  <c r="C284" i="1" s="1"/>
  <c r="G285" i="1"/>
  <c r="C285" i="1" s="1"/>
  <c r="G286" i="1"/>
  <c r="C286" i="1" s="1"/>
  <c r="G287" i="1"/>
  <c r="C287" i="1" s="1"/>
  <c r="G288" i="1"/>
  <c r="C288" i="1" s="1"/>
  <c r="G289" i="1"/>
  <c r="C289" i="1" s="1"/>
  <c r="G290" i="1"/>
  <c r="C290" i="1" s="1"/>
  <c r="G291" i="1"/>
  <c r="C291" i="1" s="1"/>
  <c r="G292" i="1"/>
  <c r="C292" i="1" s="1"/>
  <c r="G293" i="1"/>
  <c r="C293" i="1" s="1"/>
  <c r="G294" i="1"/>
  <c r="C294" i="1" s="1"/>
  <c r="G295" i="1"/>
  <c r="C295" i="1" s="1"/>
  <c r="G296" i="1"/>
  <c r="C296" i="1" s="1"/>
  <c r="G297" i="1"/>
  <c r="C297" i="1" s="1"/>
  <c r="G298" i="1"/>
  <c r="C298" i="1" s="1"/>
  <c r="G299" i="1"/>
  <c r="C299" i="1" s="1"/>
  <c r="G300" i="1"/>
  <c r="C300" i="1" s="1"/>
  <c r="G301" i="1"/>
  <c r="C301" i="1" s="1"/>
  <c r="G302" i="1"/>
  <c r="C302" i="1" s="1"/>
  <c r="G303" i="1"/>
  <c r="C303" i="1" s="1"/>
  <c r="G304" i="1"/>
  <c r="C304" i="1" s="1"/>
  <c r="G2" i="1"/>
  <c r="C2" i="1" s="1"/>
</calcChain>
</file>

<file path=xl/sharedStrings.xml><?xml version="1.0" encoding="utf-8"?>
<sst xmlns="http://schemas.openxmlformats.org/spreadsheetml/2006/main" count="14" uniqueCount="11">
  <si>
    <t>day</t>
  </si>
  <si>
    <t>DAU</t>
  </si>
  <si>
    <t>month</t>
  </si>
  <si>
    <t>MAU</t>
  </si>
  <si>
    <t>номер месяца</t>
  </si>
  <si>
    <t>week</t>
  </si>
  <si>
    <t>WAU</t>
  </si>
  <si>
    <t>Номер недели</t>
  </si>
  <si>
    <t>номер недели</t>
  </si>
  <si>
    <t>SF Weekly</t>
  </si>
  <si>
    <t>SF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</si>
</sst>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>
    <font>
      <sz val="11"/>
      <color indexed="8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1"/>
      <color rgb="FF0F111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22" fontId="0" fillId="0" borderId="0" xfId="0" applyNumberFormat="1" applyAlignment="1"/>
    <xf numFmtId="0" fontId="2" fillId="0" borderId="0" xfId="0" applyFont="1">
      <alignment vertical="center"/>
    </xf>
    <xf numFmtId="164" fontId="0" fillId="0" borderId="0" xfId="1" applyNumberFormat="1" applyFont="1">
      <alignment vertical="center"/>
    </xf>
    <xf numFmtId="14" fontId="0" fillId="0" borderId="1" xfId="0" applyNumberFormat="1" applyBorder="1" applyAlignment="1"/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14" fontId="0" fillId="2" borderId="1" xfId="0" applyNumberFormat="1" applyFill="1" applyBorder="1" applyAlignment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к</a:t>
            </a:r>
            <a:r>
              <a:rPr lang="ru-RU"/>
              <a:t>оличества уникальных пользователей</a:t>
            </a:r>
          </a:p>
        </c:rich>
      </c:tx>
      <c:layout>
        <c:manualLayout>
          <c:xMode val="edge"/>
          <c:yMode val="edge"/>
          <c:x val="0.20493920982161865"/>
          <c:y val="2.2559867391627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запроса'!$B$1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запроса'!$B$2:$B$304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3-4173-AA0B-00068988F1F1}"/>
            </c:ext>
          </c:extLst>
        </c:ser>
        <c:ser>
          <c:idx val="1"/>
          <c:order val="1"/>
          <c:tx>
            <c:strRef>
              <c:f>'Результат запроса'!$C$1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запроса'!$C$2:$C$304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3-4173-AA0B-00068988F1F1}"/>
            </c:ext>
          </c:extLst>
        </c:ser>
        <c:ser>
          <c:idx val="2"/>
          <c:order val="2"/>
          <c:tx>
            <c:strRef>
              <c:f>'Результат запроса'!$D$1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запроса'!$D$2:$D$304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3-4173-AA0B-00068988F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629424"/>
        <c:axId val="1198634704"/>
      </c:lineChart>
      <c:dateAx>
        <c:axId val="1198629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8634704"/>
        <c:crosses val="autoZero"/>
        <c:auto val="1"/>
        <c:lblOffset val="100"/>
        <c:baseTimeUnit val="days"/>
      </c:dateAx>
      <c:valAx>
        <c:axId val="1198634704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WAU, MAU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862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</a:t>
            </a:r>
            <a:r>
              <a:rPr lang="en-US"/>
              <a:t>Sticky Factor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запроса'!$E$1</c:f>
              <c:strCache>
                <c:ptCount val="1"/>
                <c:pt idx="0">
                  <c:v>SF Weekly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запроса'!$E$2:$E$304</c:f>
              <c:numCache>
                <c:formatCode>0.0%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A-4F5F-94F8-EEF0702EC6C2}"/>
            </c:ext>
          </c:extLst>
        </c:ser>
        <c:ser>
          <c:idx val="1"/>
          <c:order val="1"/>
          <c:tx>
            <c:strRef>
              <c:f>'Результат запроса'!$F$1</c:f>
              <c:strCache>
                <c:ptCount val="1"/>
                <c:pt idx="0">
                  <c:v>SF 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запроса'!$F$2:$F$304</c:f>
              <c:numCache>
                <c:formatCode>0.0%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A-4F5F-94F8-EEF0702E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178128"/>
        <c:axId val="1206180048"/>
      </c:lineChart>
      <c:dateAx>
        <c:axId val="1206178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180048"/>
        <c:crosses val="autoZero"/>
        <c:auto val="1"/>
        <c:lblOffset val="100"/>
        <c:baseTimeUnit val="days"/>
      </c:dateAx>
      <c:valAx>
        <c:axId val="12061800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17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371685</xdr:colOff>
      <xdr:row>0</xdr:row>
      <xdr:rowOff>139275</xdr:rowOff>
    </xdr:from>
    <xdr:to>
      <xdr:col>22</xdr:col>
      <xdr:colOff>207065</xdr:colOff>
      <xdr:row>22</xdr:row>
      <xdr:rowOff>71118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71CD4D-F2C4-5D76-DA66-DA5AE14CA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371503</xdr:colOff>
      <xdr:row>23</xdr:row>
      <xdr:rowOff>65857</xdr:rowOff>
    </xdr:from>
    <xdr:to>
      <xdr:col>22</xdr:col>
      <xdr:colOff>223629</xdr:colOff>
      <xdr:row>47</xdr:row>
      <xdr:rowOff>149087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B616855-3B6F-4404-A1F5-5DE00E18E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"/>
  <sheetViews>
    <sheetView topLeftCell="A3" zoomScale="70" workbookViewId="0">
      <selection activeCell="Y23" sqref="Y23"/>
    </sheetView>
  </sheetViews>
  <sheetFormatPr defaultColWidth="9" defaultRowHeight="14.4"/>
  <cols>
    <col min="1" max="1" width="15.88671875" customWidth="1"/>
    <col min="4" max="5" width="9" customWidth="1"/>
    <col min="6" max="6" width="10.6640625" bestFit="1" customWidth="1"/>
    <col min="7" max="8" width="13.44140625" bestFit="1" customWidth="1"/>
  </cols>
  <sheetData>
    <row r="1" spans="1:8">
      <c r="A1" s="5" t="s">
        <v>0</v>
      </c>
      <c r="B1" s="6" t="s">
        <v>1</v>
      </c>
      <c r="C1" s="6" t="s">
        <v>6</v>
      </c>
      <c r="D1" s="6" t="s">
        <v>3</v>
      </c>
      <c r="E1" s="6" t="s">
        <v>9</v>
      </c>
      <c r="F1" s="7" t="s">
        <v>10</v>
      </c>
      <c r="G1" s="6" t="s">
        <v>8</v>
      </c>
      <c r="H1" s="6" t="s">
        <v>4</v>
      </c>
    </row>
    <row r="2" spans="1:8">
      <c r="A2" s="4">
        <v>44744</v>
      </c>
      <c r="B2">
        <v>3</v>
      </c>
      <c r="C2">
        <f>VLOOKUP(G2,WAU!A:C,3,)</f>
        <v>6</v>
      </c>
      <c r="D2">
        <f>VLOOKUP(H2,MAU!A:C,3,)</f>
        <v>193</v>
      </c>
      <c r="E2" s="3">
        <f>B2/C2</f>
        <v>0.5</v>
      </c>
      <c r="F2" s="3">
        <f>B2/D2</f>
        <v>1.5544041450777202E-2</v>
      </c>
      <c r="G2">
        <f>_xlfn.ISOWEEKNUM(A2)</f>
        <v>26</v>
      </c>
      <c r="H2">
        <f>MONTH(A2)</f>
        <v>7</v>
      </c>
    </row>
    <row r="3" spans="1:8">
      <c r="A3" s="4">
        <v>44745</v>
      </c>
      <c r="B3">
        <v>6</v>
      </c>
      <c r="C3">
        <f>VLOOKUP(G3,WAU!A:C,3,)</f>
        <v>6</v>
      </c>
      <c r="D3">
        <f>VLOOKUP(H3,MAU!A:C,3,)</f>
        <v>193</v>
      </c>
      <c r="E3" s="3">
        <f t="shared" ref="E3:E66" si="0">B3/C3</f>
        <v>1</v>
      </c>
      <c r="F3" s="3">
        <f t="shared" ref="F3:F66" si="1">B3/D3</f>
        <v>3.1088082901554404E-2</v>
      </c>
      <c r="G3">
        <f t="shared" ref="G3:G66" si="2">_xlfn.ISOWEEKNUM(A3)</f>
        <v>26</v>
      </c>
      <c r="H3">
        <f t="shared" ref="H3:H66" si="3">MONTH(A3)</f>
        <v>7</v>
      </c>
    </row>
    <row r="4" spans="1:8">
      <c r="A4" s="4">
        <v>44746</v>
      </c>
      <c r="B4">
        <v>5</v>
      </c>
      <c r="C4">
        <f>VLOOKUP(G4,WAU!A:C,3,)</f>
        <v>59</v>
      </c>
      <c r="D4">
        <f>VLOOKUP(H4,MAU!A:C,3,)</f>
        <v>193</v>
      </c>
      <c r="E4" s="3">
        <f t="shared" si="0"/>
        <v>8.4745762711864403E-2</v>
      </c>
      <c r="F4" s="3">
        <f t="shared" si="1"/>
        <v>2.5906735751295335E-2</v>
      </c>
      <c r="G4">
        <f t="shared" si="2"/>
        <v>27</v>
      </c>
      <c r="H4">
        <f t="shared" si="3"/>
        <v>7</v>
      </c>
    </row>
    <row r="5" spans="1:8">
      <c r="A5" s="4">
        <v>44747</v>
      </c>
      <c r="B5">
        <v>10</v>
      </c>
      <c r="C5">
        <f>VLOOKUP(G5,WAU!A:C,3,)</f>
        <v>59</v>
      </c>
      <c r="D5">
        <f>VLOOKUP(H5,MAU!A:C,3,)</f>
        <v>193</v>
      </c>
      <c r="E5" s="3">
        <f t="shared" si="0"/>
        <v>0.16949152542372881</v>
      </c>
      <c r="F5" s="3">
        <f t="shared" si="1"/>
        <v>5.181347150259067E-2</v>
      </c>
      <c r="G5">
        <f t="shared" si="2"/>
        <v>27</v>
      </c>
      <c r="H5">
        <f t="shared" si="3"/>
        <v>7</v>
      </c>
    </row>
    <row r="6" spans="1:8">
      <c r="A6" s="4">
        <v>44748</v>
      </c>
      <c r="B6">
        <v>5</v>
      </c>
      <c r="C6">
        <f>VLOOKUP(G6,WAU!A:C,3,)</f>
        <v>59</v>
      </c>
      <c r="D6">
        <f>VLOOKUP(H6,MAU!A:C,3,)</f>
        <v>193</v>
      </c>
      <c r="E6" s="3">
        <f t="shared" si="0"/>
        <v>8.4745762711864403E-2</v>
      </c>
      <c r="F6" s="3">
        <f t="shared" si="1"/>
        <v>2.5906735751295335E-2</v>
      </c>
      <c r="G6">
        <f t="shared" si="2"/>
        <v>27</v>
      </c>
      <c r="H6">
        <f t="shared" si="3"/>
        <v>7</v>
      </c>
    </row>
    <row r="7" spans="1:8">
      <c r="A7" s="4">
        <v>44749</v>
      </c>
      <c r="B7">
        <v>13</v>
      </c>
      <c r="C7">
        <f>VLOOKUP(G7,WAU!A:C,3,)</f>
        <v>59</v>
      </c>
      <c r="D7">
        <f>VLOOKUP(H7,MAU!A:C,3,)</f>
        <v>193</v>
      </c>
      <c r="E7" s="3">
        <f t="shared" si="0"/>
        <v>0.22033898305084745</v>
      </c>
      <c r="F7" s="3">
        <f t="shared" si="1"/>
        <v>6.7357512953367879E-2</v>
      </c>
      <c r="G7">
        <f t="shared" si="2"/>
        <v>27</v>
      </c>
      <c r="H7">
        <f t="shared" si="3"/>
        <v>7</v>
      </c>
    </row>
    <row r="8" spans="1:8">
      <c r="A8" s="4">
        <v>44750</v>
      </c>
      <c r="B8">
        <v>22</v>
      </c>
      <c r="C8">
        <f>VLOOKUP(G8,WAU!A:C,3,)</f>
        <v>59</v>
      </c>
      <c r="D8">
        <f>VLOOKUP(H8,MAU!A:C,3,)</f>
        <v>193</v>
      </c>
      <c r="E8" s="3">
        <f t="shared" si="0"/>
        <v>0.3728813559322034</v>
      </c>
      <c r="F8" s="3">
        <f t="shared" si="1"/>
        <v>0.11398963730569948</v>
      </c>
      <c r="G8">
        <f t="shared" si="2"/>
        <v>27</v>
      </c>
      <c r="H8">
        <f t="shared" si="3"/>
        <v>7</v>
      </c>
    </row>
    <row r="9" spans="1:8">
      <c r="A9" s="4">
        <v>44751</v>
      </c>
      <c r="B9">
        <v>22</v>
      </c>
      <c r="C9">
        <f>VLOOKUP(G9,WAU!A:C,3,)</f>
        <v>59</v>
      </c>
      <c r="D9">
        <f>VLOOKUP(H9,MAU!A:C,3,)</f>
        <v>193</v>
      </c>
      <c r="E9" s="3">
        <f t="shared" si="0"/>
        <v>0.3728813559322034</v>
      </c>
      <c r="F9" s="3">
        <f t="shared" si="1"/>
        <v>0.11398963730569948</v>
      </c>
      <c r="G9">
        <f t="shared" si="2"/>
        <v>27</v>
      </c>
      <c r="H9">
        <f t="shared" si="3"/>
        <v>7</v>
      </c>
    </row>
    <row r="10" spans="1:8">
      <c r="A10" s="4">
        <v>44752</v>
      </c>
      <c r="B10">
        <v>26</v>
      </c>
      <c r="C10">
        <f>VLOOKUP(G10,WAU!A:C,3,)</f>
        <v>59</v>
      </c>
      <c r="D10">
        <f>VLOOKUP(H10,MAU!A:C,3,)</f>
        <v>193</v>
      </c>
      <c r="E10" s="3">
        <f t="shared" si="0"/>
        <v>0.44067796610169491</v>
      </c>
      <c r="F10" s="3">
        <f t="shared" si="1"/>
        <v>0.13471502590673576</v>
      </c>
      <c r="G10">
        <f t="shared" si="2"/>
        <v>27</v>
      </c>
      <c r="H10">
        <f t="shared" si="3"/>
        <v>7</v>
      </c>
    </row>
    <row r="11" spans="1:8">
      <c r="A11" s="4">
        <v>44753</v>
      </c>
      <c r="B11">
        <v>23</v>
      </c>
      <c r="C11">
        <f>VLOOKUP(G11,WAU!A:C,3,)</f>
        <v>92</v>
      </c>
      <c r="D11">
        <f>VLOOKUP(H11,MAU!A:C,3,)</f>
        <v>193</v>
      </c>
      <c r="E11" s="3">
        <f t="shared" si="0"/>
        <v>0.25</v>
      </c>
      <c r="F11" s="3">
        <f t="shared" si="1"/>
        <v>0.11917098445595854</v>
      </c>
      <c r="G11">
        <f t="shared" si="2"/>
        <v>28</v>
      </c>
      <c r="H11">
        <f t="shared" si="3"/>
        <v>7</v>
      </c>
    </row>
    <row r="12" spans="1:8">
      <c r="A12" s="4">
        <v>44754</v>
      </c>
      <c r="B12">
        <v>24</v>
      </c>
      <c r="C12">
        <f>VLOOKUP(G12,WAU!A:C,3,)</f>
        <v>92</v>
      </c>
      <c r="D12">
        <f>VLOOKUP(H12,MAU!A:C,3,)</f>
        <v>193</v>
      </c>
      <c r="E12" s="3">
        <f t="shared" si="0"/>
        <v>0.2608695652173913</v>
      </c>
      <c r="F12" s="3">
        <f t="shared" si="1"/>
        <v>0.12435233160621761</v>
      </c>
      <c r="G12">
        <f t="shared" si="2"/>
        <v>28</v>
      </c>
      <c r="H12">
        <f t="shared" si="3"/>
        <v>7</v>
      </c>
    </row>
    <row r="13" spans="1:8">
      <c r="A13" s="4">
        <v>44755</v>
      </c>
      <c r="B13">
        <v>30</v>
      </c>
      <c r="C13">
        <f>VLOOKUP(G13,WAU!A:C,3,)</f>
        <v>92</v>
      </c>
      <c r="D13">
        <f>VLOOKUP(H13,MAU!A:C,3,)</f>
        <v>193</v>
      </c>
      <c r="E13" s="3">
        <f t="shared" si="0"/>
        <v>0.32608695652173914</v>
      </c>
      <c r="F13" s="3">
        <f t="shared" si="1"/>
        <v>0.15544041450777202</v>
      </c>
      <c r="G13">
        <f t="shared" si="2"/>
        <v>28</v>
      </c>
      <c r="H13">
        <f t="shared" si="3"/>
        <v>7</v>
      </c>
    </row>
    <row r="14" spans="1:8">
      <c r="A14" s="4">
        <v>44756</v>
      </c>
      <c r="B14">
        <v>32</v>
      </c>
      <c r="C14">
        <f>VLOOKUP(G14,WAU!A:C,3,)</f>
        <v>92</v>
      </c>
      <c r="D14">
        <f>VLOOKUP(H14,MAU!A:C,3,)</f>
        <v>193</v>
      </c>
      <c r="E14" s="3">
        <f t="shared" si="0"/>
        <v>0.34782608695652173</v>
      </c>
      <c r="F14" s="3">
        <f t="shared" si="1"/>
        <v>0.16580310880829016</v>
      </c>
      <c r="G14">
        <f t="shared" si="2"/>
        <v>28</v>
      </c>
      <c r="H14">
        <f t="shared" si="3"/>
        <v>7</v>
      </c>
    </row>
    <row r="15" spans="1:8">
      <c r="A15" s="4">
        <v>44757</v>
      </c>
      <c r="B15">
        <v>25</v>
      </c>
      <c r="C15">
        <f>VLOOKUP(G15,WAU!A:C,3,)</f>
        <v>92</v>
      </c>
      <c r="D15">
        <f>VLOOKUP(H15,MAU!A:C,3,)</f>
        <v>193</v>
      </c>
      <c r="E15" s="3">
        <f t="shared" si="0"/>
        <v>0.27173913043478259</v>
      </c>
      <c r="F15" s="3">
        <f t="shared" si="1"/>
        <v>0.12953367875647667</v>
      </c>
      <c r="G15">
        <f t="shared" si="2"/>
        <v>28</v>
      </c>
      <c r="H15">
        <f t="shared" si="3"/>
        <v>7</v>
      </c>
    </row>
    <row r="16" spans="1:8">
      <c r="A16" s="4">
        <v>44758</v>
      </c>
      <c r="B16">
        <v>34</v>
      </c>
      <c r="C16">
        <f>VLOOKUP(G16,WAU!A:C,3,)</f>
        <v>92</v>
      </c>
      <c r="D16">
        <f>VLOOKUP(H16,MAU!A:C,3,)</f>
        <v>193</v>
      </c>
      <c r="E16" s="3">
        <f t="shared" si="0"/>
        <v>0.36956521739130432</v>
      </c>
      <c r="F16" s="3">
        <f t="shared" si="1"/>
        <v>0.17616580310880828</v>
      </c>
      <c r="G16">
        <f t="shared" si="2"/>
        <v>28</v>
      </c>
      <c r="H16">
        <f t="shared" si="3"/>
        <v>7</v>
      </c>
    </row>
    <row r="17" spans="1:8">
      <c r="A17" s="4">
        <v>44759</v>
      </c>
      <c r="B17">
        <v>39</v>
      </c>
      <c r="C17">
        <f>VLOOKUP(G17,WAU!A:C,3,)</f>
        <v>92</v>
      </c>
      <c r="D17">
        <f>VLOOKUP(H17,MAU!A:C,3,)</f>
        <v>193</v>
      </c>
      <c r="E17" s="3">
        <f t="shared" si="0"/>
        <v>0.42391304347826086</v>
      </c>
      <c r="F17" s="3">
        <f t="shared" si="1"/>
        <v>0.20207253886010362</v>
      </c>
      <c r="G17">
        <f t="shared" si="2"/>
        <v>28</v>
      </c>
      <c r="H17">
        <f t="shared" si="3"/>
        <v>7</v>
      </c>
    </row>
    <row r="18" spans="1:8">
      <c r="A18" s="4">
        <v>44760</v>
      </c>
      <c r="B18">
        <v>22</v>
      </c>
      <c r="C18">
        <f>VLOOKUP(G18,WAU!A:C,3,)</f>
        <v>133</v>
      </c>
      <c r="D18">
        <f>VLOOKUP(H18,MAU!A:C,3,)</f>
        <v>193</v>
      </c>
      <c r="E18" s="3">
        <f t="shared" si="0"/>
        <v>0.16541353383458646</v>
      </c>
      <c r="F18" s="3">
        <f t="shared" si="1"/>
        <v>0.11398963730569948</v>
      </c>
      <c r="G18">
        <f t="shared" si="2"/>
        <v>29</v>
      </c>
      <c r="H18">
        <f t="shared" si="3"/>
        <v>7</v>
      </c>
    </row>
    <row r="19" spans="1:8">
      <c r="A19" s="4">
        <v>44761</v>
      </c>
      <c r="B19">
        <v>38</v>
      </c>
      <c r="C19">
        <f>VLOOKUP(G19,WAU!A:C,3,)</f>
        <v>133</v>
      </c>
      <c r="D19">
        <f>VLOOKUP(H19,MAU!A:C,3,)</f>
        <v>193</v>
      </c>
      <c r="E19" s="3">
        <f t="shared" si="0"/>
        <v>0.2857142857142857</v>
      </c>
      <c r="F19" s="3">
        <f t="shared" si="1"/>
        <v>0.19689119170984457</v>
      </c>
      <c r="G19">
        <f t="shared" si="2"/>
        <v>29</v>
      </c>
      <c r="H19">
        <f t="shared" si="3"/>
        <v>7</v>
      </c>
    </row>
    <row r="20" spans="1:8">
      <c r="A20" s="4">
        <v>44762</v>
      </c>
      <c r="B20">
        <v>34</v>
      </c>
      <c r="C20">
        <f>VLOOKUP(G20,WAU!A:C,3,)</f>
        <v>133</v>
      </c>
      <c r="D20">
        <f>VLOOKUP(H20,MAU!A:C,3,)</f>
        <v>193</v>
      </c>
      <c r="E20" s="3">
        <f t="shared" si="0"/>
        <v>0.25563909774436089</v>
      </c>
      <c r="F20" s="3">
        <f t="shared" si="1"/>
        <v>0.17616580310880828</v>
      </c>
      <c r="G20">
        <f t="shared" si="2"/>
        <v>29</v>
      </c>
      <c r="H20">
        <f t="shared" si="3"/>
        <v>7</v>
      </c>
    </row>
    <row r="21" spans="1:8">
      <c r="A21" s="4">
        <v>44763</v>
      </c>
      <c r="B21">
        <v>50</v>
      </c>
      <c r="C21">
        <f>VLOOKUP(G21,WAU!A:C,3,)</f>
        <v>133</v>
      </c>
      <c r="D21">
        <f>VLOOKUP(H21,MAU!A:C,3,)</f>
        <v>193</v>
      </c>
      <c r="E21" s="3">
        <f t="shared" si="0"/>
        <v>0.37593984962406013</v>
      </c>
      <c r="F21" s="3">
        <f t="shared" si="1"/>
        <v>0.25906735751295334</v>
      </c>
      <c r="G21">
        <f t="shared" si="2"/>
        <v>29</v>
      </c>
      <c r="H21">
        <f t="shared" si="3"/>
        <v>7</v>
      </c>
    </row>
    <row r="22" spans="1:8">
      <c r="A22" s="4">
        <v>44764</v>
      </c>
      <c r="B22">
        <v>43</v>
      </c>
      <c r="C22">
        <f>VLOOKUP(G22,WAU!A:C,3,)</f>
        <v>133</v>
      </c>
      <c r="D22">
        <f>VLOOKUP(H22,MAU!A:C,3,)</f>
        <v>193</v>
      </c>
      <c r="E22" s="3">
        <f t="shared" si="0"/>
        <v>0.32330827067669171</v>
      </c>
      <c r="F22" s="3">
        <f t="shared" si="1"/>
        <v>0.22279792746113988</v>
      </c>
      <c r="G22">
        <f t="shared" si="2"/>
        <v>29</v>
      </c>
      <c r="H22">
        <f t="shared" si="3"/>
        <v>7</v>
      </c>
    </row>
    <row r="23" spans="1:8">
      <c r="A23" s="4">
        <v>44765</v>
      </c>
      <c r="B23">
        <v>43</v>
      </c>
      <c r="C23">
        <f>VLOOKUP(G23,WAU!A:C,3,)</f>
        <v>133</v>
      </c>
      <c r="D23">
        <f>VLOOKUP(H23,MAU!A:C,3,)</f>
        <v>193</v>
      </c>
      <c r="E23" s="3">
        <f t="shared" si="0"/>
        <v>0.32330827067669171</v>
      </c>
      <c r="F23" s="3">
        <f t="shared" si="1"/>
        <v>0.22279792746113988</v>
      </c>
      <c r="G23">
        <f t="shared" si="2"/>
        <v>29</v>
      </c>
      <c r="H23">
        <f t="shared" si="3"/>
        <v>7</v>
      </c>
    </row>
    <row r="24" spans="1:8">
      <c r="A24" s="4">
        <v>44766</v>
      </c>
      <c r="B24">
        <v>53</v>
      </c>
      <c r="C24">
        <f>VLOOKUP(G24,WAU!A:C,3,)</f>
        <v>133</v>
      </c>
      <c r="D24">
        <f>VLOOKUP(H24,MAU!A:C,3,)</f>
        <v>193</v>
      </c>
      <c r="E24" s="3">
        <f t="shared" si="0"/>
        <v>0.39849624060150374</v>
      </c>
      <c r="F24" s="3">
        <f t="shared" si="1"/>
        <v>0.27461139896373055</v>
      </c>
      <c r="G24">
        <f t="shared" si="2"/>
        <v>29</v>
      </c>
      <c r="H24">
        <f t="shared" si="3"/>
        <v>7</v>
      </c>
    </row>
    <row r="25" spans="1:8">
      <c r="A25" s="4">
        <v>44767</v>
      </c>
      <c r="B25">
        <v>63</v>
      </c>
      <c r="C25">
        <f>VLOOKUP(G25,WAU!A:C,3,)</f>
        <v>183</v>
      </c>
      <c r="D25">
        <f>VLOOKUP(H25,MAU!A:C,3,)</f>
        <v>193</v>
      </c>
      <c r="E25" s="3">
        <f t="shared" si="0"/>
        <v>0.34426229508196721</v>
      </c>
      <c r="F25" s="3">
        <f t="shared" si="1"/>
        <v>0.32642487046632124</v>
      </c>
      <c r="G25">
        <f t="shared" si="2"/>
        <v>30</v>
      </c>
      <c r="H25">
        <f t="shared" si="3"/>
        <v>7</v>
      </c>
    </row>
    <row r="26" spans="1:8">
      <c r="A26" s="4">
        <v>44768</v>
      </c>
      <c r="B26">
        <v>48</v>
      </c>
      <c r="C26">
        <f>VLOOKUP(G26,WAU!A:C,3,)</f>
        <v>183</v>
      </c>
      <c r="D26">
        <f>VLOOKUP(H26,MAU!A:C,3,)</f>
        <v>193</v>
      </c>
      <c r="E26" s="3">
        <f t="shared" si="0"/>
        <v>0.26229508196721313</v>
      </c>
      <c r="F26" s="3">
        <f t="shared" si="1"/>
        <v>0.24870466321243523</v>
      </c>
      <c r="G26">
        <f t="shared" si="2"/>
        <v>30</v>
      </c>
      <c r="H26">
        <f t="shared" si="3"/>
        <v>7</v>
      </c>
    </row>
    <row r="27" spans="1:8">
      <c r="A27" s="4">
        <v>44769</v>
      </c>
      <c r="B27">
        <v>59</v>
      </c>
      <c r="C27">
        <f>VLOOKUP(G27,WAU!A:C,3,)</f>
        <v>183</v>
      </c>
      <c r="D27">
        <f>VLOOKUP(H27,MAU!A:C,3,)</f>
        <v>193</v>
      </c>
      <c r="E27" s="3">
        <f t="shared" si="0"/>
        <v>0.32240437158469948</v>
      </c>
      <c r="F27" s="3">
        <f t="shared" si="1"/>
        <v>0.30569948186528495</v>
      </c>
      <c r="G27">
        <f t="shared" si="2"/>
        <v>30</v>
      </c>
      <c r="H27">
        <f t="shared" si="3"/>
        <v>7</v>
      </c>
    </row>
    <row r="28" spans="1:8">
      <c r="A28" s="4">
        <v>44770</v>
      </c>
      <c r="B28">
        <v>59</v>
      </c>
      <c r="C28">
        <f>VLOOKUP(G28,WAU!A:C,3,)</f>
        <v>183</v>
      </c>
      <c r="D28">
        <f>VLOOKUP(H28,MAU!A:C,3,)</f>
        <v>193</v>
      </c>
      <c r="E28" s="3">
        <f t="shared" si="0"/>
        <v>0.32240437158469948</v>
      </c>
      <c r="F28" s="3">
        <f t="shared" si="1"/>
        <v>0.30569948186528495</v>
      </c>
      <c r="G28">
        <f t="shared" si="2"/>
        <v>30</v>
      </c>
      <c r="H28">
        <f t="shared" si="3"/>
        <v>7</v>
      </c>
    </row>
    <row r="29" spans="1:8">
      <c r="A29" s="4">
        <v>44771</v>
      </c>
      <c r="B29">
        <v>61</v>
      </c>
      <c r="C29">
        <f>VLOOKUP(G29,WAU!A:C,3,)</f>
        <v>183</v>
      </c>
      <c r="D29">
        <f>VLOOKUP(H29,MAU!A:C,3,)</f>
        <v>193</v>
      </c>
      <c r="E29" s="3">
        <f t="shared" si="0"/>
        <v>0.33333333333333331</v>
      </c>
      <c r="F29" s="3">
        <f t="shared" si="1"/>
        <v>0.31606217616580312</v>
      </c>
      <c r="G29">
        <f t="shared" si="2"/>
        <v>30</v>
      </c>
      <c r="H29">
        <f t="shared" si="3"/>
        <v>7</v>
      </c>
    </row>
    <row r="30" spans="1:8">
      <c r="A30" s="4">
        <v>44772</v>
      </c>
      <c r="B30">
        <v>64</v>
      </c>
      <c r="C30">
        <f>VLOOKUP(G30,WAU!A:C,3,)</f>
        <v>183</v>
      </c>
      <c r="D30">
        <f>VLOOKUP(H30,MAU!A:C,3,)</f>
        <v>193</v>
      </c>
      <c r="E30" s="3">
        <f t="shared" si="0"/>
        <v>0.34972677595628415</v>
      </c>
      <c r="F30" s="3">
        <f t="shared" si="1"/>
        <v>0.33160621761658032</v>
      </c>
      <c r="G30">
        <f t="shared" si="2"/>
        <v>30</v>
      </c>
      <c r="H30">
        <f t="shared" si="3"/>
        <v>7</v>
      </c>
    </row>
    <row r="31" spans="1:8">
      <c r="A31" s="4">
        <v>44773</v>
      </c>
      <c r="B31">
        <v>64</v>
      </c>
      <c r="C31">
        <f>VLOOKUP(G31,WAU!A:C,3,)</f>
        <v>183</v>
      </c>
      <c r="D31">
        <f>VLOOKUP(H31,MAU!A:C,3,)</f>
        <v>193</v>
      </c>
      <c r="E31" s="3">
        <f t="shared" si="0"/>
        <v>0.34972677595628415</v>
      </c>
      <c r="F31" s="3">
        <f t="shared" si="1"/>
        <v>0.33160621761658032</v>
      </c>
      <c r="G31">
        <f t="shared" si="2"/>
        <v>30</v>
      </c>
      <c r="H31">
        <f t="shared" si="3"/>
        <v>7</v>
      </c>
    </row>
    <row r="32" spans="1:8">
      <c r="A32" s="4">
        <v>44774</v>
      </c>
      <c r="B32">
        <v>52</v>
      </c>
      <c r="C32">
        <f>VLOOKUP(G32,WAU!A:C,3,)</f>
        <v>202</v>
      </c>
      <c r="D32">
        <f>VLOOKUP(H32,MAU!A:C,3,)</f>
        <v>366</v>
      </c>
      <c r="E32" s="3">
        <f t="shared" si="0"/>
        <v>0.25742574257425743</v>
      </c>
      <c r="F32" s="3">
        <f t="shared" si="1"/>
        <v>0.14207650273224043</v>
      </c>
      <c r="G32">
        <f t="shared" si="2"/>
        <v>31</v>
      </c>
      <c r="H32">
        <f t="shared" si="3"/>
        <v>8</v>
      </c>
    </row>
    <row r="33" spans="1:8">
      <c r="A33" s="4">
        <v>44775</v>
      </c>
      <c r="B33">
        <v>62</v>
      </c>
      <c r="C33">
        <f>VLOOKUP(G33,WAU!A:C,3,)</f>
        <v>202</v>
      </c>
      <c r="D33">
        <f>VLOOKUP(H33,MAU!A:C,3,)</f>
        <v>366</v>
      </c>
      <c r="E33" s="3">
        <f t="shared" si="0"/>
        <v>0.30693069306930693</v>
      </c>
      <c r="F33" s="3">
        <f t="shared" si="1"/>
        <v>0.16939890710382513</v>
      </c>
      <c r="G33">
        <f t="shared" si="2"/>
        <v>31</v>
      </c>
      <c r="H33">
        <f t="shared" si="3"/>
        <v>8</v>
      </c>
    </row>
    <row r="34" spans="1:8">
      <c r="A34" s="4">
        <v>44776</v>
      </c>
      <c r="B34">
        <v>55</v>
      </c>
      <c r="C34">
        <f>VLOOKUP(G34,WAU!A:C,3,)</f>
        <v>202</v>
      </c>
      <c r="D34">
        <f>VLOOKUP(H34,MAU!A:C,3,)</f>
        <v>366</v>
      </c>
      <c r="E34" s="3">
        <f t="shared" si="0"/>
        <v>0.2722772277227723</v>
      </c>
      <c r="F34" s="3">
        <f t="shared" si="1"/>
        <v>0.15027322404371585</v>
      </c>
      <c r="G34">
        <f t="shared" si="2"/>
        <v>31</v>
      </c>
      <c r="H34">
        <f t="shared" si="3"/>
        <v>8</v>
      </c>
    </row>
    <row r="35" spans="1:8">
      <c r="A35" s="4">
        <v>44777</v>
      </c>
      <c r="B35">
        <v>60</v>
      </c>
      <c r="C35">
        <f>VLOOKUP(G35,WAU!A:C,3,)</f>
        <v>202</v>
      </c>
      <c r="D35">
        <f>VLOOKUP(H35,MAU!A:C,3,)</f>
        <v>366</v>
      </c>
      <c r="E35" s="3">
        <f t="shared" si="0"/>
        <v>0.29702970297029702</v>
      </c>
      <c r="F35" s="3">
        <f t="shared" si="1"/>
        <v>0.16393442622950818</v>
      </c>
      <c r="G35">
        <f t="shared" si="2"/>
        <v>31</v>
      </c>
      <c r="H35">
        <f t="shared" si="3"/>
        <v>8</v>
      </c>
    </row>
    <row r="36" spans="1:8">
      <c r="A36" s="4">
        <v>44778</v>
      </c>
      <c r="B36">
        <v>52</v>
      </c>
      <c r="C36">
        <f>VLOOKUP(G36,WAU!A:C,3,)</f>
        <v>202</v>
      </c>
      <c r="D36">
        <f>VLOOKUP(H36,MAU!A:C,3,)</f>
        <v>366</v>
      </c>
      <c r="E36" s="3">
        <f t="shared" si="0"/>
        <v>0.25742574257425743</v>
      </c>
      <c r="F36" s="3">
        <f t="shared" si="1"/>
        <v>0.14207650273224043</v>
      </c>
      <c r="G36">
        <f t="shared" si="2"/>
        <v>31</v>
      </c>
      <c r="H36">
        <f t="shared" si="3"/>
        <v>8</v>
      </c>
    </row>
    <row r="37" spans="1:8">
      <c r="A37" s="4">
        <v>44779</v>
      </c>
      <c r="B37">
        <v>62</v>
      </c>
      <c r="C37">
        <f>VLOOKUP(G37,WAU!A:C,3,)</f>
        <v>202</v>
      </c>
      <c r="D37">
        <f>VLOOKUP(H37,MAU!A:C,3,)</f>
        <v>366</v>
      </c>
      <c r="E37" s="3">
        <f t="shared" si="0"/>
        <v>0.30693069306930693</v>
      </c>
      <c r="F37" s="3">
        <f t="shared" si="1"/>
        <v>0.16939890710382513</v>
      </c>
      <c r="G37">
        <f t="shared" si="2"/>
        <v>31</v>
      </c>
      <c r="H37">
        <f t="shared" si="3"/>
        <v>8</v>
      </c>
    </row>
    <row r="38" spans="1:8">
      <c r="A38" s="4">
        <v>44780</v>
      </c>
      <c r="B38">
        <v>59</v>
      </c>
      <c r="C38">
        <f>VLOOKUP(G38,WAU!A:C,3,)</f>
        <v>202</v>
      </c>
      <c r="D38">
        <f>VLOOKUP(H38,MAU!A:C,3,)</f>
        <v>366</v>
      </c>
      <c r="E38" s="3">
        <f t="shared" si="0"/>
        <v>0.29207920792079206</v>
      </c>
      <c r="F38" s="3">
        <f t="shared" si="1"/>
        <v>0.16120218579234974</v>
      </c>
      <c r="G38">
        <f t="shared" si="2"/>
        <v>31</v>
      </c>
      <c r="H38">
        <f t="shared" si="3"/>
        <v>8</v>
      </c>
    </row>
    <row r="39" spans="1:8">
      <c r="A39" s="4">
        <v>44781</v>
      </c>
      <c r="B39">
        <v>58</v>
      </c>
      <c r="C39">
        <f>VLOOKUP(G39,WAU!A:C,3,)</f>
        <v>193</v>
      </c>
      <c r="D39">
        <f>VLOOKUP(H39,MAU!A:C,3,)</f>
        <v>366</v>
      </c>
      <c r="E39" s="3">
        <f t="shared" si="0"/>
        <v>0.30051813471502592</v>
      </c>
      <c r="F39" s="3">
        <f t="shared" si="1"/>
        <v>0.15846994535519127</v>
      </c>
      <c r="G39">
        <f t="shared" si="2"/>
        <v>32</v>
      </c>
      <c r="H39">
        <f t="shared" si="3"/>
        <v>8</v>
      </c>
    </row>
    <row r="40" spans="1:8">
      <c r="A40" s="4">
        <v>44782</v>
      </c>
      <c r="B40">
        <v>53</v>
      </c>
      <c r="C40">
        <f>VLOOKUP(G40,WAU!A:C,3,)</f>
        <v>193</v>
      </c>
      <c r="D40">
        <f>VLOOKUP(H40,MAU!A:C,3,)</f>
        <v>366</v>
      </c>
      <c r="E40" s="3">
        <f t="shared" si="0"/>
        <v>0.27461139896373055</v>
      </c>
      <c r="F40" s="3">
        <f t="shared" si="1"/>
        <v>0.1448087431693989</v>
      </c>
      <c r="G40">
        <f t="shared" si="2"/>
        <v>32</v>
      </c>
      <c r="H40">
        <f t="shared" si="3"/>
        <v>8</v>
      </c>
    </row>
    <row r="41" spans="1:8">
      <c r="A41" s="4">
        <v>44783</v>
      </c>
      <c r="B41">
        <v>55</v>
      </c>
      <c r="C41">
        <f>VLOOKUP(G41,WAU!A:C,3,)</f>
        <v>193</v>
      </c>
      <c r="D41">
        <f>VLOOKUP(H41,MAU!A:C,3,)</f>
        <v>366</v>
      </c>
      <c r="E41" s="3">
        <f t="shared" si="0"/>
        <v>0.28497409326424872</v>
      </c>
      <c r="F41" s="3">
        <f t="shared" si="1"/>
        <v>0.15027322404371585</v>
      </c>
      <c r="G41">
        <f t="shared" si="2"/>
        <v>32</v>
      </c>
      <c r="H41">
        <f t="shared" si="3"/>
        <v>8</v>
      </c>
    </row>
    <row r="42" spans="1:8">
      <c r="A42" s="4">
        <v>44784</v>
      </c>
      <c r="B42">
        <v>65</v>
      </c>
      <c r="C42">
        <f>VLOOKUP(G42,WAU!A:C,3,)</f>
        <v>193</v>
      </c>
      <c r="D42">
        <f>VLOOKUP(H42,MAU!A:C,3,)</f>
        <v>366</v>
      </c>
      <c r="E42" s="3">
        <f t="shared" si="0"/>
        <v>0.33678756476683935</v>
      </c>
      <c r="F42" s="3">
        <f t="shared" si="1"/>
        <v>0.17759562841530055</v>
      </c>
      <c r="G42">
        <f t="shared" si="2"/>
        <v>32</v>
      </c>
      <c r="H42">
        <f t="shared" si="3"/>
        <v>8</v>
      </c>
    </row>
    <row r="43" spans="1:8">
      <c r="A43" s="4">
        <v>44785</v>
      </c>
      <c r="B43">
        <v>54</v>
      </c>
      <c r="C43">
        <f>VLOOKUP(G43,WAU!A:C,3,)</f>
        <v>193</v>
      </c>
      <c r="D43">
        <f>VLOOKUP(H43,MAU!A:C,3,)</f>
        <v>366</v>
      </c>
      <c r="E43" s="3">
        <f t="shared" si="0"/>
        <v>0.27979274611398963</v>
      </c>
      <c r="F43" s="3">
        <f t="shared" si="1"/>
        <v>0.14754098360655737</v>
      </c>
      <c r="G43">
        <f t="shared" si="2"/>
        <v>32</v>
      </c>
      <c r="H43">
        <f t="shared" si="3"/>
        <v>8</v>
      </c>
    </row>
    <row r="44" spans="1:8">
      <c r="A44" s="4">
        <v>44786</v>
      </c>
      <c r="B44">
        <v>74</v>
      </c>
      <c r="C44">
        <f>VLOOKUP(G44,WAU!A:C,3,)</f>
        <v>193</v>
      </c>
      <c r="D44">
        <f>VLOOKUP(H44,MAU!A:C,3,)</f>
        <v>366</v>
      </c>
      <c r="E44" s="3">
        <f t="shared" si="0"/>
        <v>0.38341968911917096</v>
      </c>
      <c r="F44" s="3">
        <f t="shared" si="1"/>
        <v>0.20218579234972678</v>
      </c>
      <c r="G44">
        <f t="shared" si="2"/>
        <v>32</v>
      </c>
      <c r="H44">
        <f t="shared" si="3"/>
        <v>8</v>
      </c>
    </row>
    <row r="45" spans="1:8">
      <c r="A45" s="4">
        <v>44787</v>
      </c>
      <c r="B45">
        <v>59</v>
      </c>
      <c r="C45">
        <f>VLOOKUP(G45,WAU!A:C,3,)</f>
        <v>193</v>
      </c>
      <c r="D45">
        <f>VLOOKUP(H45,MAU!A:C,3,)</f>
        <v>366</v>
      </c>
      <c r="E45" s="3">
        <f t="shared" si="0"/>
        <v>0.30569948186528495</v>
      </c>
      <c r="F45" s="3">
        <f t="shared" si="1"/>
        <v>0.16120218579234974</v>
      </c>
      <c r="G45">
        <f t="shared" si="2"/>
        <v>32</v>
      </c>
      <c r="H45">
        <f t="shared" si="3"/>
        <v>8</v>
      </c>
    </row>
    <row r="46" spans="1:8">
      <c r="A46" s="4">
        <v>44788</v>
      </c>
      <c r="B46">
        <v>54</v>
      </c>
      <c r="C46">
        <f>VLOOKUP(G46,WAU!A:C,3,)</f>
        <v>201</v>
      </c>
      <c r="D46">
        <f>VLOOKUP(H46,MAU!A:C,3,)</f>
        <v>366</v>
      </c>
      <c r="E46" s="3">
        <f t="shared" si="0"/>
        <v>0.26865671641791045</v>
      </c>
      <c r="F46" s="3">
        <f t="shared" si="1"/>
        <v>0.14754098360655737</v>
      </c>
      <c r="G46">
        <f t="shared" si="2"/>
        <v>33</v>
      </c>
      <c r="H46">
        <f t="shared" si="3"/>
        <v>8</v>
      </c>
    </row>
    <row r="47" spans="1:8">
      <c r="A47" s="4">
        <v>44789</v>
      </c>
      <c r="B47">
        <v>68</v>
      </c>
      <c r="C47">
        <f>VLOOKUP(G47,WAU!A:C,3,)</f>
        <v>201</v>
      </c>
      <c r="D47">
        <f>VLOOKUP(H47,MAU!A:C,3,)</f>
        <v>366</v>
      </c>
      <c r="E47" s="3">
        <f t="shared" si="0"/>
        <v>0.3383084577114428</v>
      </c>
      <c r="F47" s="3">
        <f t="shared" si="1"/>
        <v>0.18579234972677597</v>
      </c>
      <c r="G47">
        <f t="shared" si="2"/>
        <v>33</v>
      </c>
      <c r="H47">
        <f t="shared" si="3"/>
        <v>8</v>
      </c>
    </row>
    <row r="48" spans="1:8">
      <c r="A48" s="4">
        <v>44790</v>
      </c>
      <c r="B48">
        <v>59</v>
      </c>
      <c r="C48">
        <f>VLOOKUP(G48,WAU!A:C,3,)</f>
        <v>201</v>
      </c>
      <c r="D48">
        <f>VLOOKUP(H48,MAU!A:C,3,)</f>
        <v>366</v>
      </c>
      <c r="E48" s="3">
        <f t="shared" si="0"/>
        <v>0.29353233830845771</v>
      </c>
      <c r="F48" s="3">
        <f t="shared" si="1"/>
        <v>0.16120218579234974</v>
      </c>
      <c r="G48">
        <f t="shared" si="2"/>
        <v>33</v>
      </c>
      <c r="H48">
        <f t="shared" si="3"/>
        <v>8</v>
      </c>
    </row>
    <row r="49" spans="1:8">
      <c r="A49" s="4">
        <v>44791</v>
      </c>
      <c r="B49">
        <v>61</v>
      </c>
      <c r="C49">
        <f>VLOOKUP(G49,WAU!A:C,3,)</f>
        <v>201</v>
      </c>
      <c r="D49">
        <f>VLOOKUP(H49,MAU!A:C,3,)</f>
        <v>366</v>
      </c>
      <c r="E49" s="3">
        <f t="shared" si="0"/>
        <v>0.30348258706467662</v>
      </c>
      <c r="F49" s="3">
        <f t="shared" si="1"/>
        <v>0.16666666666666666</v>
      </c>
      <c r="G49">
        <f t="shared" si="2"/>
        <v>33</v>
      </c>
      <c r="H49">
        <f t="shared" si="3"/>
        <v>8</v>
      </c>
    </row>
    <row r="50" spans="1:8">
      <c r="A50" s="4">
        <v>44792</v>
      </c>
      <c r="B50">
        <v>58</v>
      </c>
      <c r="C50">
        <f>VLOOKUP(G50,WAU!A:C,3,)</f>
        <v>201</v>
      </c>
      <c r="D50">
        <f>VLOOKUP(H50,MAU!A:C,3,)</f>
        <v>366</v>
      </c>
      <c r="E50" s="3">
        <f t="shared" si="0"/>
        <v>0.28855721393034828</v>
      </c>
      <c r="F50" s="3">
        <f t="shared" si="1"/>
        <v>0.15846994535519127</v>
      </c>
      <c r="G50">
        <f t="shared" si="2"/>
        <v>33</v>
      </c>
      <c r="H50">
        <f t="shared" si="3"/>
        <v>8</v>
      </c>
    </row>
    <row r="51" spans="1:8">
      <c r="A51" s="4">
        <v>44793</v>
      </c>
      <c r="B51">
        <v>67</v>
      </c>
      <c r="C51">
        <f>VLOOKUP(G51,WAU!A:C,3,)</f>
        <v>201</v>
      </c>
      <c r="D51">
        <f>VLOOKUP(H51,MAU!A:C,3,)</f>
        <v>366</v>
      </c>
      <c r="E51" s="3">
        <f t="shared" si="0"/>
        <v>0.33333333333333331</v>
      </c>
      <c r="F51" s="3">
        <f t="shared" si="1"/>
        <v>0.1830601092896175</v>
      </c>
      <c r="G51">
        <f t="shared" si="2"/>
        <v>33</v>
      </c>
      <c r="H51">
        <f t="shared" si="3"/>
        <v>8</v>
      </c>
    </row>
    <row r="52" spans="1:8">
      <c r="A52" s="4">
        <v>44794</v>
      </c>
      <c r="B52">
        <v>62</v>
      </c>
      <c r="C52">
        <f>VLOOKUP(G52,WAU!A:C,3,)</f>
        <v>201</v>
      </c>
      <c r="D52">
        <f>VLOOKUP(H52,MAU!A:C,3,)</f>
        <v>366</v>
      </c>
      <c r="E52" s="3">
        <f t="shared" si="0"/>
        <v>0.30845771144278605</v>
      </c>
      <c r="F52" s="3">
        <f t="shared" si="1"/>
        <v>0.16939890710382513</v>
      </c>
      <c r="G52">
        <f t="shared" si="2"/>
        <v>33</v>
      </c>
      <c r="H52">
        <f t="shared" si="3"/>
        <v>8</v>
      </c>
    </row>
    <row r="53" spans="1:8">
      <c r="A53" s="4">
        <v>44795</v>
      </c>
      <c r="B53">
        <v>53</v>
      </c>
      <c r="C53">
        <f>VLOOKUP(G53,WAU!A:C,3,)</f>
        <v>206</v>
      </c>
      <c r="D53">
        <f>VLOOKUP(H53,MAU!A:C,3,)</f>
        <v>366</v>
      </c>
      <c r="E53" s="3">
        <f t="shared" si="0"/>
        <v>0.25728155339805825</v>
      </c>
      <c r="F53" s="3">
        <f t="shared" si="1"/>
        <v>0.1448087431693989</v>
      </c>
      <c r="G53">
        <f t="shared" si="2"/>
        <v>34</v>
      </c>
      <c r="H53">
        <f t="shared" si="3"/>
        <v>8</v>
      </c>
    </row>
    <row r="54" spans="1:8">
      <c r="A54" s="4">
        <v>44796</v>
      </c>
      <c r="B54">
        <v>60</v>
      </c>
      <c r="C54">
        <f>VLOOKUP(G54,WAU!A:C,3,)</f>
        <v>206</v>
      </c>
      <c r="D54">
        <f>VLOOKUP(H54,MAU!A:C,3,)</f>
        <v>366</v>
      </c>
      <c r="E54" s="3">
        <f t="shared" si="0"/>
        <v>0.29126213592233008</v>
      </c>
      <c r="F54" s="3">
        <f t="shared" si="1"/>
        <v>0.16393442622950818</v>
      </c>
      <c r="G54">
        <f t="shared" si="2"/>
        <v>34</v>
      </c>
      <c r="H54">
        <f t="shared" si="3"/>
        <v>8</v>
      </c>
    </row>
    <row r="55" spans="1:8">
      <c r="A55" s="4">
        <v>44797</v>
      </c>
      <c r="B55">
        <v>67</v>
      </c>
      <c r="C55">
        <f>VLOOKUP(G55,WAU!A:C,3,)</f>
        <v>206</v>
      </c>
      <c r="D55">
        <f>VLOOKUP(H55,MAU!A:C,3,)</f>
        <v>366</v>
      </c>
      <c r="E55" s="3">
        <f t="shared" si="0"/>
        <v>0.32524271844660196</v>
      </c>
      <c r="F55" s="3">
        <f t="shared" si="1"/>
        <v>0.1830601092896175</v>
      </c>
      <c r="G55">
        <f t="shared" si="2"/>
        <v>34</v>
      </c>
      <c r="H55">
        <f t="shared" si="3"/>
        <v>8</v>
      </c>
    </row>
    <row r="56" spans="1:8">
      <c r="A56" s="4">
        <v>44798</v>
      </c>
      <c r="B56">
        <v>67</v>
      </c>
      <c r="C56">
        <f>VLOOKUP(G56,WAU!A:C,3,)</f>
        <v>206</v>
      </c>
      <c r="D56">
        <f>VLOOKUP(H56,MAU!A:C,3,)</f>
        <v>366</v>
      </c>
      <c r="E56" s="3">
        <f t="shared" si="0"/>
        <v>0.32524271844660196</v>
      </c>
      <c r="F56" s="3">
        <f t="shared" si="1"/>
        <v>0.1830601092896175</v>
      </c>
      <c r="G56">
        <f t="shared" si="2"/>
        <v>34</v>
      </c>
      <c r="H56">
        <f t="shared" si="3"/>
        <v>8</v>
      </c>
    </row>
    <row r="57" spans="1:8">
      <c r="A57" s="4">
        <v>44799</v>
      </c>
      <c r="B57">
        <v>61</v>
      </c>
      <c r="C57">
        <f>VLOOKUP(G57,WAU!A:C,3,)</f>
        <v>206</v>
      </c>
      <c r="D57">
        <f>VLOOKUP(H57,MAU!A:C,3,)</f>
        <v>366</v>
      </c>
      <c r="E57" s="3">
        <f t="shared" si="0"/>
        <v>0.29611650485436891</v>
      </c>
      <c r="F57" s="3">
        <f t="shared" si="1"/>
        <v>0.16666666666666666</v>
      </c>
      <c r="G57">
        <f t="shared" si="2"/>
        <v>34</v>
      </c>
      <c r="H57">
        <f t="shared" si="3"/>
        <v>8</v>
      </c>
    </row>
    <row r="58" spans="1:8">
      <c r="A58" s="4">
        <v>44800</v>
      </c>
      <c r="B58">
        <v>63</v>
      </c>
      <c r="C58">
        <f>VLOOKUP(G58,WAU!A:C,3,)</f>
        <v>206</v>
      </c>
      <c r="D58">
        <f>VLOOKUP(H58,MAU!A:C,3,)</f>
        <v>366</v>
      </c>
      <c r="E58" s="3">
        <f t="shared" si="0"/>
        <v>0.30582524271844658</v>
      </c>
      <c r="F58" s="3">
        <f t="shared" si="1"/>
        <v>0.1721311475409836</v>
      </c>
      <c r="G58">
        <f t="shared" si="2"/>
        <v>34</v>
      </c>
      <c r="H58">
        <f t="shared" si="3"/>
        <v>8</v>
      </c>
    </row>
    <row r="59" spans="1:8">
      <c r="A59" s="4">
        <v>44801</v>
      </c>
      <c r="B59">
        <v>61</v>
      </c>
      <c r="C59">
        <f>VLOOKUP(G59,WAU!A:C,3,)</f>
        <v>206</v>
      </c>
      <c r="D59">
        <f>VLOOKUP(H59,MAU!A:C,3,)</f>
        <v>366</v>
      </c>
      <c r="E59" s="3">
        <f t="shared" si="0"/>
        <v>0.29611650485436891</v>
      </c>
      <c r="F59" s="3">
        <f t="shared" si="1"/>
        <v>0.16666666666666666</v>
      </c>
      <c r="G59">
        <f t="shared" si="2"/>
        <v>34</v>
      </c>
      <c r="H59">
        <f t="shared" si="3"/>
        <v>8</v>
      </c>
    </row>
    <row r="60" spans="1:8">
      <c r="A60" s="4">
        <v>44802</v>
      </c>
      <c r="B60">
        <v>54</v>
      </c>
      <c r="C60">
        <f>VLOOKUP(G60,WAU!A:C,3,)</f>
        <v>192</v>
      </c>
      <c r="D60">
        <f>VLOOKUP(H60,MAU!A:C,3,)</f>
        <v>366</v>
      </c>
      <c r="E60" s="3">
        <f t="shared" si="0"/>
        <v>0.28125</v>
      </c>
      <c r="F60" s="3">
        <f t="shared" si="1"/>
        <v>0.14754098360655737</v>
      </c>
      <c r="G60">
        <f t="shared" si="2"/>
        <v>35</v>
      </c>
      <c r="H60">
        <f t="shared" si="3"/>
        <v>8</v>
      </c>
    </row>
    <row r="61" spans="1:8">
      <c r="A61" s="4">
        <v>44803</v>
      </c>
      <c r="B61">
        <v>72</v>
      </c>
      <c r="C61">
        <f>VLOOKUP(G61,WAU!A:C,3,)</f>
        <v>192</v>
      </c>
      <c r="D61">
        <f>VLOOKUP(H61,MAU!A:C,3,)</f>
        <v>366</v>
      </c>
      <c r="E61" s="3">
        <f t="shared" si="0"/>
        <v>0.375</v>
      </c>
      <c r="F61" s="3">
        <f t="shared" si="1"/>
        <v>0.19672131147540983</v>
      </c>
      <c r="G61">
        <f t="shared" si="2"/>
        <v>35</v>
      </c>
      <c r="H61">
        <f t="shared" si="3"/>
        <v>8</v>
      </c>
    </row>
    <row r="62" spans="1:8">
      <c r="A62" s="4">
        <v>44804</v>
      </c>
      <c r="B62">
        <v>54</v>
      </c>
      <c r="C62">
        <f>VLOOKUP(G62,WAU!A:C,3,)</f>
        <v>192</v>
      </c>
      <c r="D62">
        <f>VLOOKUP(H62,MAU!A:C,3,)</f>
        <v>366</v>
      </c>
      <c r="E62" s="3">
        <f t="shared" si="0"/>
        <v>0.28125</v>
      </c>
      <c r="F62" s="3">
        <f t="shared" si="1"/>
        <v>0.14754098360655737</v>
      </c>
      <c r="G62">
        <f t="shared" si="2"/>
        <v>35</v>
      </c>
      <c r="H62">
        <f t="shared" si="3"/>
        <v>8</v>
      </c>
    </row>
    <row r="63" spans="1:8">
      <c r="A63" s="4">
        <v>44805</v>
      </c>
      <c r="B63">
        <v>66</v>
      </c>
      <c r="C63">
        <f>VLOOKUP(G63,WAU!A:C,3,)</f>
        <v>192</v>
      </c>
      <c r="D63">
        <f>VLOOKUP(H63,MAU!A:C,3,)</f>
        <v>378</v>
      </c>
      <c r="E63" s="3">
        <f t="shared" si="0"/>
        <v>0.34375</v>
      </c>
      <c r="F63" s="3">
        <f t="shared" si="1"/>
        <v>0.17460317460317459</v>
      </c>
      <c r="G63">
        <f t="shared" si="2"/>
        <v>35</v>
      </c>
      <c r="H63">
        <f t="shared" si="3"/>
        <v>9</v>
      </c>
    </row>
    <row r="64" spans="1:8">
      <c r="A64" s="4">
        <v>44806</v>
      </c>
      <c r="B64">
        <v>61</v>
      </c>
      <c r="C64">
        <f>VLOOKUP(G64,WAU!A:C,3,)</f>
        <v>192</v>
      </c>
      <c r="D64">
        <f>VLOOKUP(H64,MAU!A:C,3,)</f>
        <v>378</v>
      </c>
      <c r="E64" s="3">
        <f t="shared" si="0"/>
        <v>0.31770833333333331</v>
      </c>
      <c r="F64" s="3">
        <f t="shared" si="1"/>
        <v>0.16137566137566137</v>
      </c>
      <c r="G64">
        <f t="shared" si="2"/>
        <v>35</v>
      </c>
      <c r="H64">
        <f t="shared" si="3"/>
        <v>9</v>
      </c>
    </row>
    <row r="65" spans="1:8">
      <c r="A65" s="4">
        <v>44807</v>
      </c>
      <c r="B65">
        <v>58</v>
      </c>
      <c r="C65">
        <f>VLOOKUP(G65,WAU!A:C,3,)</f>
        <v>192</v>
      </c>
      <c r="D65">
        <f>VLOOKUP(H65,MAU!A:C,3,)</f>
        <v>378</v>
      </c>
      <c r="E65" s="3">
        <f t="shared" si="0"/>
        <v>0.30208333333333331</v>
      </c>
      <c r="F65" s="3">
        <f t="shared" si="1"/>
        <v>0.15343915343915343</v>
      </c>
      <c r="G65">
        <f t="shared" si="2"/>
        <v>35</v>
      </c>
      <c r="H65">
        <f t="shared" si="3"/>
        <v>9</v>
      </c>
    </row>
    <row r="66" spans="1:8">
      <c r="A66" s="4">
        <v>44808</v>
      </c>
      <c r="B66">
        <v>64</v>
      </c>
      <c r="C66">
        <f>VLOOKUP(G66,WAU!A:C,3,)</f>
        <v>192</v>
      </c>
      <c r="D66">
        <f>VLOOKUP(H66,MAU!A:C,3,)</f>
        <v>378</v>
      </c>
      <c r="E66" s="3">
        <f t="shared" si="0"/>
        <v>0.33333333333333331</v>
      </c>
      <c r="F66" s="3">
        <f t="shared" si="1"/>
        <v>0.1693121693121693</v>
      </c>
      <c r="G66">
        <f t="shared" si="2"/>
        <v>35</v>
      </c>
      <c r="H66">
        <f t="shared" si="3"/>
        <v>9</v>
      </c>
    </row>
    <row r="67" spans="1:8">
      <c r="A67" s="4">
        <v>44809</v>
      </c>
      <c r="B67">
        <v>62</v>
      </c>
      <c r="C67">
        <f>VLOOKUP(G67,WAU!A:C,3,)</f>
        <v>196</v>
      </c>
      <c r="D67">
        <f>VLOOKUP(H67,MAU!A:C,3,)</f>
        <v>378</v>
      </c>
      <c r="E67" s="3">
        <f t="shared" ref="E67:E130" si="4">B67/C67</f>
        <v>0.31632653061224492</v>
      </c>
      <c r="F67" s="3">
        <f t="shared" ref="F67:F130" si="5">B67/D67</f>
        <v>0.16402116402116401</v>
      </c>
      <c r="G67">
        <f t="shared" ref="G67:G130" si="6">_xlfn.ISOWEEKNUM(A67)</f>
        <v>36</v>
      </c>
      <c r="H67">
        <f t="shared" ref="H67:H130" si="7">MONTH(A67)</f>
        <v>9</v>
      </c>
    </row>
    <row r="68" spans="1:8">
      <c r="A68" s="4">
        <v>44810</v>
      </c>
      <c r="B68">
        <v>46</v>
      </c>
      <c r="C68">
        <f>VLOOKUP(G68,WAU!A:C,3,)</f>
        <v>196</v>
      </c>
      <c r="D68">
        <f>VLOOKUP(H68,MAU!A:C,3,)</f>
        <v>378</v>
      </c>
      <c r="E68" s="3">
        <f t="shared" si="4"/>
        <v>0.23469387755102042</v>
      </c>
      <c r="F68" s="3">
        <f t="shared" si="5"/>
        <v>0.12169312169312169</v>
      </c>
      <c r="G68">
        <f t="shared" si="6"/>
        <v>36</v>
      </c>
      <c r="H68">
        <f t="shared" si="7"/>
        <v>9</v>
      </c>
    </row>
    <row r="69" spans="1:8">
      <c r="A69" s="4">
        <v>44811</v>
      </c>
      <c r="B69">
        <v>49</v>
      </c>
      <c r="C69">
        <f>VLOOKUP(G69,WAU!A:C,3,)</f>
        <v>196</v>
      </c>
      <c r="D69">
        <f>VLOOKUP(H69,MAU!A:C,3,)</f>
        <v>378</v>
      </c>
      <c r="E69" s="3">
        <f t="shared" si="4"/>
        <v>0.25</v>
      </c>
      <c r="F69" s="3">
        <f t="shared" si="5"/>
        <v>0.12962962962962962</v>
      </c>
      <c r="G69">
        <f t="shared" si="6"/>
        <v>36</v>
      </c>
      <c r="H69">
        <f t="shared" si="7"/>
        <v>9</v>
      </c>
    </row>
    <row r="70" spans="1:8">
      <c r="A70" s="4">
        <v>44812</v>
      </c>
      <c r="B70">
        <v>59</v>
      </c>
      <c r="C70">
        <f>VLOOKUP(G70,WAU!A:C,3,)</f>
        <v>196</v>
      </c>
      <c r="D70">
        <f>VLOOKUP(H70,MAU!A:C,3,)</f>
        <v>378</v>
      </c>
      <c r="E70" s="3">
        <f t="shared" si="4"/>
        <v>0.30102040816326531</v>
      </c>
      <c r="F70" s="3">
        <f t="shared" si="5"/>
        <v>0.15608465608465608</v>
      </c>
      <c r="G70">
        <f t="shared" si="6"/>
        <v>36</v>
      </c>
      <c r="H70">
        <f t="shared" si="7"/>
        <v>9</v>
      </c>
    </row>
    <row r="71" spans="1:8">
      <c r="A71" s="4">
        <v>44813</v>
      </c>
      <c r="B71">
        <v>60</v>
      </c>
      <c r="C71">
        <f>VLOOKUP(G71,WAU!A:C,3,)</f>
        <v>196</v>
      </c>
      <c r="D71">
        <f>VLOOKUP(H71,MAU!A:C,3,)</f>
        <v>378</v>
      </c>
      <c r="E71" s="3">
        <f t="shared" si="4"/>
        <v>0.30612244897959184</v>
      </c>
      <c r="F71" s="3">
        <f t="shared" si="5"/>
        <v>0.15873015873015872</v>
      </c>
      <c r="G71">
        <f t="shared" si="6"/>
        <v>36</v>
      </c>
      <c r="H71">
        <f t="shared" si="7"/>
        <v>9</v>
      </c>
    </row>
    <row r="72" spans="1:8">
      <c r="A72" s="4">
        <v>44814</v>
      </c>
      <c r="B72">
        <v>53</v>
      </c>
      <c r="C72">
        <f>VLOOKUP(G72,WAU!A:C,3,)</f>
        <v>196</v>
      </c>
      <c r="D72">
        <f>VLOOKUP(H72,MAU!A:C,3,)</f>
        <v>378</v>
      </c>
      <c r="E72" s="3">
        <f t="shared" si="4"/>
        <v>0.27040816326530615</v>
      </c>
      <c r="F72" s="3">
        <f t="shared" si="5"/>
        <v>0.1402116402116402</v>
      </c>
      <c r="G72">
        <f t="shared" si="6"/>
        <v>36</v>
      </c>
      <c r="H72">
        <f t="shared" si="7"/>
        <v>9</v>
      </c>
    </row>
    <row r="73" spans="1:8">
      <c r="A73" s="4">
        <v>44815</v>
      </c>
      <c r="B73">
        <v>61</v>
      </c>
      <c r="C73">
        <f>VLOOKUP(G73,WAU!A:C,3,)</f>
        <v>196</v>
      </c>
      <c r="D73">
        <f>VLOOKUP(H73,MAU!A:C,3,)</f>
        <v>378</v>
      </c>
      <c r="E73" s="3">
        <f t="shared" si="4"/>
        <v>0.31122448979591838</v>
      </c>
      <c r="F73" s="3">
        <f t="shared" si="5"/>
        <v>0.16137566137566137</v>
      </c>
      <c r="G73">
        <f t="shared" si="6"/>
        <v>36</v>
      </c>
      <c r="H73">
        <f t="shared" si="7"/>
        <v>9</v>
      </c>
    </row>
    <row r="74" spans="1:8">
      <c r="A74" s="4">
        <v>44816</v>
      </c>
      <c r="B74">
        <v>58</v>
      </c>
      <c r="C74">
        <f>VLOOKUP(G74,WAU!A:C,3,)</f>
        <v>205</v>
      </c>
      <c r="D74">
        <f>VLOOKUP(H74,MAU!A:C,3,)</f>
        <v>378</v>
      </c>
      <c r="E74" s="3">
        <f t="shared" si="4"/>
        <v>0.28292682926829266</v>
      </c>
      <c r="F74" s="3">
        <f t="shared" si="5"/>
        <v>0.15343915343915343</v>
      </c>
      <c r="G74">
        <f t="shared" si="6"/>
        <v>37</v>
      </c>
      <c r="H74">
        <f t="shared" si="7"/>
        <v>9</v>
      </c>
    </row>
    <row r="75" spans="1:8">
      <c r="A75" s="4">
        <v>44817</v>
      </c>
      <c r="B75">
        <v>64</v>
      </c>
      <c r="C75">
        <f>VLOOKUP(G75,WAU!A:C,3,)</f>
        <v>205</v>
      </c>
      <c r="D75">
        <f>VLOOKUP(H75,MAU!A:C,3,)</f>
        <v>378</v>
      </c>
      <c r="E75" s="3">
        <f t="shared" si="4"/>
        <v>0.31219512195121951</v>
      </c>
      <c r="F75" s="3">
        <f t="shared" si="5"/>
        <v>0.1693121693121693</v>
      </c>
      <c r="G75">
        <f t="shared" si="6"/>
        <v>37</v>
      </c>
      <c r="H75">
        <f t="shared" si="7"/>
        <v>9</v>
      </c>
    </row>
    <row r="76" spans="1:8">
      <c r="A76" s="4">
        <v>44818</v>
      </c>
      <c r="B76">
        <v>65</v>
      </c>
      <c r="C76">
        <f>VLOOKUP(G76,WAU!A:C,3,)</f>
        <v>205</v>
      </c>
      <c r="D76">
        <f>VLOOKUP(H76,MAU!A:C,3,)</f>
        <v>378</v>
      </c>
      <c r="E76" s="3">
        <f t="shared" si="4"/>
        <v>0.31707317073170732</v>
      </c>
      <c r="F76" s="3">
        <f t="shared" si="5"/>
        <v>0.17195767195767195</v>
      </c>
      <c r="G76">
        <f t="shared" si="6"/>
        <v>37</v>
      </c>
      <c r="H76">
        <f t="shared" si="7"/>
        <v>9</v>
      </c>
    </row>
    <row r="77" spans="1:8">
      <c r="A77" s="4">
        <v>44819</v>
      </c>
      <c r="B77">
        <v>74</v>
      </c>
      <c r="C77">
        <f>VLOOKUP(G77,WAU!A:C,3,)</f>
        <v>205</v>
      </c>
      <c r="D77">
        <f>VLOOKUP(H77,MAU!A:C,3,)</f>
        <v>378</v>
      </c>
      <c r="E77" s="3">
        <f t="shared" si="4"/>
        <v>0.36097560975609755</v>
      </c>
      <c r="F77" s="3">
        <f t="shared" si="5"/>
        <v>0.19576719576719576</v>
      </c>
      <c r="G77">
        <f t="shared" si="6"/>
        <v>37</v>
      </c>
      <c r="H77">
        <f t="shared" si="7"/>
        <v>9</v>
      </c>
    </row>
    <row r="78" spans="1:8">
      <c r="A78" s="4">
        <v>44820</v>
      </c>
      <c r="B78">
        <v>58</v>
      </c>
      <c r="C78">
        <f>VLOOKUP(G78,WAU!A:C,3,)</f>
        <v>205</v>
      </c>
      <c r="D78">
        <f>VLOOKUP(H78,MAU!A:C,3,)</f>
        <v>378</v>
      </c>
      <c r="E78" s="3">
        <f t="shared" si="4"/>
        <v>0.28292682926829266</v>
      </c>
      <c r="F78" s="3">
        <f t="shared" si="5"/>
        <v>0.15343915343915343</v>
      </c>
      <c r="G78">
        <f t="shared" si="6"/>
        <v>37</v>
      </c>
      <c r="H78">
        <f t="shared" si="7"/>
        <v>9</v>
      </c>
    </row>
    <row r="79" spans="1:8">
      <c r="A79" s="4">
        <v>44821</v>
      </c>
      <c r="B79">
        <v>62</v>
      </c>
      <c r="C79">
        <f>VLOOKUP(G79,WAU!A:C,3,)</f>
        <v>205</v>
      </c>
      <c r="D79">
        <f>VLOOKUP(H79,MAU!A:C,3,)</f>
        <v>378</v>
      </c>
      <c r="E79" s="3">
        <f t="shared" si="4"/>
        <v>0.30243902439024389</v>
      </c>
      <c r="F79" s="3">
        <f t="shared" si="5"/>
        <v>0.16402116402116401</v>
      </c>
      <c r="G79">
        <f t="shared" si="6"/>
        <v>37</v>
      </c>
      <c r="H79">
        <f t="shared" si="7"/>
        <v>9</v>
      </c>
    </row>
    <row r="80" spans="1:8">
      <c r="A80" s="4">
        <v>44822</v>
      </c>
      <c r="B80">
        <v>69</v>
      </c>
      <c r="C80">
        <f>VLOOKUP(G80,WAU!A:C,3,)</f>
        <v>205</v>
      </c>
      <c r="D80">
        <f>VLOOKUP(H80,MAU!A:C,3,)</f>
        <v>378</v>
      </c>
      <c r="E80" s="3">
        <f t="shared" si="4"/>
        <v>0.33658536585365856</v>
      </c>
      <c r="F80" s="3">
        <f t="shared" si="5"/>
        <v>0.18253968253968253</v>
      </c>
      <c r="G80">
        <f t="shared" si="6"/>
        <v>37</v>
      </c>
      <c r="H80">
        <f t="shared" si="7"/>
        <v>9</v>
      </c>
    </row>
    <row r="81" spans="1:8">
      <c r="A81" s="4">
        <v>44823</v>
      </c>
      <c r="B81">
        <v>66</v>
      </c>
      <c r="C81">
        <f>VLOOKUP(G81,WAU!A:C,3,)</f>
        <v>213</v>
      </c>
      <c r="D81">
        <f>VLOOKUP(H81,MAU!A:C,3,)</f>
        <v>378</v>
      </c>
      <c r="E81" s="3">
        <f t="shared" si="4"/>
        <v>0.30985915492957744</v>
      </c>
      <c r="F81" s="3">
        <f t="shared" si="5"/>
        <v>0.17460317460317459</v>
      </c>
      <c r="G81">
        <f t="shared" si="6"/>
        <v>38</v>
      </c>
      <c r="H81">
        <f t="shared" si="7"/>
        <v>9</v>
      </c>
    </row>
    <row r="82" spans="1:8">
      <c r="A82" s="4">
        <v>44824</v>
      </c>
      <c r="B82">
        <v>67</v>
      </c>
      <c r="C82">
        <f>VLOOKUP(G82,WAU!A:C,3,)</f>
        <v>213</v>
      </c>
      <c r="D82">
        <f>VLOOKUP(H82,MAU!A:C,3,)</f>
        <v>378</v>
      </c>
      <c r="E82" s="3">
        <f t="shared" si="4"/>
        <v>0.31455399061032863</v>
      </c>
      <c r="F82" s="3">
        <f t="shared" si="5"/>
        <v>0.17724867724867724</v>
      </c>
      <c r="G82">
        <f t="shared" si="6"/>
        <v>38</v>
      </c>
      <c r="H82">
        <f t="shared" si="7"/>
        <v>9</v>
      </c>
    </row>
    <row r="83" spans="1:8">
      <c r="A83" s="4">
        <v>44825</v>
      </c>
      <c r="B83">
        <v>71</v>
      </c>
      <c r="C83">
        <f>VLOOKUP(G83,WAU!A:C,3,)</f>
        <v>213</v>
      </c>
      <c r="D83">
        <f>VLOOKUP(H83,MAU!A:C,3,)</f>
        <v>378</v>
      </c>
      <c r="E83" s="3">
        <f t="shared" si="4"/>
        <v>0.33333333333333331</v>
      </c>
      <c r="F83" s="3">
        <f t="shared" si="5"/>
        <v>0.18783068783068782</v>
      </c>
      <c r="G83">
        <f t="shared" si="6"/>
        <v>38</v>
      </c>
      <c r="H83">
        <f t="shared" si="7"/>
        <v>9</v>
      </c>
    </row>
    <row r="84" spans="1:8">
      <c r="A84" s="4">
        <v>44826</v>
      </c>
      <c r="B84">
        <v>67</v>
      </c>
      <c r="C84">
        <f>VLOOKUP(G84,WAU!A:C,3,)</f>
        <v>213</v>
      </c>
      <c r="D84">
        <f>VLOOKUP(H84,MAU!A:C,3,)</f>
        <v>378</v>
      </c>
      <c r="E84" s="3">
        <f t="shared" si="4"/>
        <v>0.31455399061032863</v>
      </c>
      <c r="F84" s="3">
        <f t="shared" si="5"/>
        <v>0.17724867724867724</v>
      </c>
      <c r="G84">
        <f t="shared" si="6"/>
        <v>38</v>
      </c>
      <c r="H84">
        <f t="shared" si="7"/>
        <v>9</v>
      </c>
    </row>
    <row r="85" spans="1:8">
      <c r="A85" s="4">
        <v>44827</v>
      </c>
      <c r="B85">
        <v>55</v>
      </c>
      <c r="C85">
        <f>VLOOKUP(G85,WAU!A:C,3,)</f>
        <v>213</v>
      </c>
      <c r="D85">
        <f>VLOOKUP(H85,MAU!A:C,3,)</f>
        <v>378</v>
      </c>
      <c r="E85" s="3">
        <f t="shared" si="4"/>
        <v>0.25821596244131456</v>
      </c>
      <c r="F85" s="3">
        <f t="shared" si="5"/>
        <v>0.14550264550264549</v>
      </c>
      <c r="G85">
        <f t="shared" si="6"/>
        <v>38</v>
      </c>
      <c r="H85">
        <f t="shared" si="7"/>
        <v>9</v>
      </c>
    </row>
    <row r="86" spans="1:8">
      <c r="A86" s="4">
        <v>44828</v>
      </c>
      <c r="B86">
        <v>58</v>
      </c>
      <c r="C86">
        <f>VLOOKUP(G86,WAU!A:C,3,)</f>
        <v>213</v>
      </c>
      <c r="D86">
        <f>VLOOKUP(H86,MAU!A:C,3,)</f>
        <v>378</v>
      </c>
      <c r="E86" s="3">
        <f t="shared" si="4"/>
        <v>0.27230046948356806</v>
      </c>
      <c r="F86" s="3">
        <f t="shared" si="5"/>
        <v>0.15343915343915343</v>
      </c>
      <c r="G86">
        <f t="shared" si="6"/>
        <v>38</v>
      </c>
      <c r="H86">
        <f t="shared" si="7"/>
        <v>9</v>
      </c>
    </row>
    <row r="87" spans="1:8">
      <c r="A87" s="4">
        <v>44829</v>
      </c>
      <c r="B87">
        <v>73</v>
      </c>
      <c r="C87">
        <f>VLOOKUP(G87,WAU!A:C,3,)</f>
        <v>213</v>
      </c>
      <c r="D87">
        <f>VLOOKUP(H87,MAU!A:C,3,)</f>
        <v>378</v>
      </c>
      <c r="E87" s="3">
        <f t="shared" si="4"/>
        <v>0.34272300469483569</v>
      </c>
      <c r="F87" s="3">
        <f t="shared" si="5"/>
        <v>0.19312169312169311</v>
      </c>
      <c r="G87">
        <f t="shared" si="6"/>
        <v>38</v>
      </c>
      <c r="H87">
        <f t="shared" si="7"/>
        <v>9</v>
      </c>
    </row>
    <row r="88" spans="1:8">
      <c r="A88" s="4">
        <v>44830</v>
      </c>
      <c r="B88">
        <v>58</v>
      </c>
      <c r="C88">
        <f>VLOOKUP(G88,WAU!A:C,3,)</f>
        <v>208</v>
      </c>
      <c r="D88">
        <f>VLOOKUP(H88,MAU!A:C,3,)</f>
        <v>378</v>
      </c>
      <c r="E88" s="3">
        <f t="shared" si="4"/>
        <v>0.27884615384615385</v>
      </c>
      <c r="F88" s="3">
        <f t="shared" si="5"/>
        <v>0.15343915343915343</v>
      </c>
      <c r="G88">
        <f t="shared" si="6"/>
        <v>39</v>
      </c>
      <c r="H88">
        <f t="shared" si="7"/>
        <v>9</v>
      </c>
    </row>
    <row r="89" spans="1:8">
      <c r="A89" s="4">
        <v>44831</v>
      </c>
      <c r="B89">
        <v>76</v>
      </c>
      <c r="C89">
        <f>VLOOKUP(G89,WAU!A:C,3,)</f>
        <v>208</v>
      </c>
      <c r="D89">
        <f>VLOOKUP(H89,MAU!A:C,3,)</f>
        <v>378</v>
      </c>
      <c r="E89" s="3">
        <f t="shared" si="4"/>
        <v>0.36538461538461536</v>
      </c>
      <c r="F89" s="3">
        <f t="shared" si="5"/>
        <v>0.20105820105820105</v>
      </c>
      <c r="G89">
        <f t="shared" si="6"/>
        <v>39</v>
      </c>
      <c r="H89">
        <f t="shared" si="7"/>
        <v>9</v>
      </c>
    </row>
    <row r="90" spans="1:8">
      <c r="A90" s="4">
        <v>44832</v>
      </c>
      <c r="B90">
        <v>62</v>
      </c>
      <c r="C90">
        <f>VLOOKUP(G90,WAU!A:C,3,)</f>
        <v>208</v>
      </c>
      <c r="D90">
        <f>VLOOKUP(H90,MAU!A:C,3,)</f>
        <v>378</v>
      </c>
      <c r="E90" s="3">
        <f t="shared" si="4"/>
        <v>0.29807692307692307</v>
      </c>
      <c r="F90" s="3">
        <f t="shared" si="5"/>
        <v>0.16402116402116401</v>
      </c>
      <c r="G90">
        <f t="shared" si="6"/>
        <v>39</v>
      </c>
      <c r="H90">
        <f t="shared" si="7"/>
        <v>9</v>
      </c>
    </row>
    <row r="91" spans="1:8">
      <c r="A91" s="4">
        <v>44833</v>
      </c>
      <c r="B91">
        <v>66</v>
      </c>
      <c r="C91">
        <f>VLOOKUP(G91,WAU!A:C,3,)</f>
        <v>208</v>
      </c>
      <c r="D91">
        <f>VLOOKUP(H91,MAU!A:C,3,)</f>
        <v>378</v>
      </c>
      <c r="E91" s="3">
        <f t="shared" si="4"/>
        <v>0.31730769230769229</v>
      </c>
      <c r="F91" s="3">
        <f t="shared" si="5"/>
        <v>0.17460317460317459</v>
      </c>
      <c r="G91">
        <f t="shared" si="6"/>
        <v>39</v>
      </c>
      <c r="H91">
        <f t="shared" si="7"/>
        <v>9</v>
      </c>
    </row>
    <row r="92" spans="1:8">
      <c r="A92" s="4">
        <v>44834</v>
      </c>
      <c r="B92">
        <v>59</v>
      </c>
      <c r="C92">
        <f>VLOOKUP(G92,WAU!A:C,3,)</f>
        <v>208</v>
      </c>
      <c r="D92">
        <f>VLOOKUP(H92,MAU!A:C,3,)</f>
        <v>378</v>
      </c>
      <c r="E92" s="3">
        <f t="shared" si="4"/>
        <v>0.28365384615384615</v>
      </c>
      <c r="F92" s="3">
        <f t="shared" si="5"/>
        <v>0.15608465608465608</v>
      </c>
      <c r="G92">
        <f t="shared" si="6"/>
        <v>39</v>
      </c>
      <c r="H92">
        <f t="shared" si="7"/>
        <v>9</v>
      </c>
    </row>
    <row r="93" spans="1:8">
      <c r="A93" s="4">
        <v>44835</v>
      </c>
      <c r="B93">
        <v>61</v>
      </c>
      <c r="C93">
        <f>VLOOKUP(G93,WAU!A:C,3,)</f>
        <v>208</v>
      </c>
      <c r="D93">
        <f>VLOOKUP(H93,MAU!A:C,3,)</f>
        <v>393</v>
      </c>
      <c r="E93" s="3">
        <f t="shared" si="4"/>
        <v>0.29326923076923078</v>
      </c>
      <c r="F93" s="3">
        <f t="shared" si="5"/>
        <v>0.15521628498727735</v>
      </c>
      <c r="G93">
        <f t="shared" si="6"/>
        <v>39</v>
      </c>
      <c r="H93">
        <f t="shared" si="7"/>
        <v>10</v>
      </c>
    </row>
    <row r="94" spans="1:8">
      <c r="A94" s="4">
        <v>44836</v>
      </c>
      <c r="B94">
        <v>52</v>
      </c>
      <c r="C94">
        <f>VLOOKUP(G94,WAU!A:C,3,)</f>
        <v>208</v>
      </c>
      <c r="D94">
        <f>VLOOKUP(H94,MAU!A:C,3,)</f>
        <v>393</v>
      </c>
      <c r="E94" s="3">
        <f t="shared" si="4"/>
        <v>0.25</v>
      </c>
      <c r="F94" s="3">
        <f t="shared" si="5"/>
        <v>0.13231552162849872</v>
      </c>
      <c r="G94">
        <f t="shared" si="6"/>
        <v>39</v>
      </c>
      <c r="H94">
        <f t="shared" si="7"/>
        <v>10</v>
      </c>
    </row>
    <row r="95" spans="1:8">
      <c r="A95" s="4">
        <v>44837</v>
      </c>
      <c r="B95">
        <v>69</v>
      </c>
      <c r="C95">
        <f>VLOOKUP(G95,WAU!A:C,3,)</f>
        <v>207</v>
      </c>
      <c r="D95">
        <f>VLOOKUP(H95,MAU!A:C,3,)</f>
        <v>393</v>
      </c>
      <c r="E95" s="3">
        <f t="shared" si="4"/>
        <v>0.33333333333333331</v>
      </c>
      <c r="F95" s="3">
        <f t="shared" si="5"/>
        <v>0.17557251908396945</v>
      </c>
      <c r="G95">
        <f t="shared" si="6"/>
        <v>40</v>
      </c>
      <c r="H95">
        <f t="shared" si="7"/>
        <v>10</v>
      </c>
    </row>
    <row r="96" spans="1:8">
      <c r="A96" s="4">
        <v>44838</v>
      </c>
      <c r="B96">
        <v>70</v>
      </c>
      <c r="C96">
        <f>VLOOKUP(G96,WAU!A:C,3,)</f>
        <v>207</v>
      </c>
      <c r="D96">
        <f>VLOOKUP(H96,MAU!A:C,3,)</f>
        <v>393</v>
      </c>
      <c r="E96" s="3">
        <f t="shared" si="4"/>
        <v>0.33816425120772947</v>
      </c>
      <c r="F96" s="3">
        <f t="shared" si="5"/>
        <v>0.17811704834605599</v>
      </c>
      <c r="G96">
        <f t="shared" si="6"/>
        <v>40</v>
      </c>
      <c r="H96">
        <f t="shared" si="7"/>
        <v>10</v>
      </c>
    </row>
    <row r="97" spans="1:8">
      <c r="A97" s="4">
        <v>44839</v>
      </c>
      <c r="B97">
        <v>45</v>
      </c>
      <c r="C97">
        <f>VLOOKUP(G97,WAU!A:C,3,)</f>
        <v>207</v>
      </c>
      <c r="D97">
        <f>VLOOKUP(H97,MAU!A:C,3,)</f>
        <v>393</v>
      </c>
      <c r="E97" s="3">
        <f t="shared" si="4"/>
        <v>0.21739130434782608</v>
      </c>
      <c r="F97" s="3">
        <f t="shared" si="5"/>
        <v>0.11450381679389313</v>
      </c>
      <c r="G97">
        <f t="shared" si="6"/>
        <v>40</v>
      </c>
      <c r="H97">
        <f t="shared" si="7"/>
        <v>10</v>
      </c>
    </row>
    <row r="98" spans="1:8">
      <c r="A98" s="4">
        <v>44840</v>
      </c>
      <c r="B98">
        <v>77</v>
      </c>
      <c r="C98">
        <f>VLOOKUP(G98,WAU!A:C,3,)</f>
        <v>207</v>
      </c>
      <c r="D98">
        <f>VLOOKUP(H98,MAU!A:C,3,)</f>
        <v>393</v>
      </c>
      <c r="E98" s="3">
        <f t="shared" si="4"/>
        <v>0.3719806763285024</v>
      </c>
      <c r="F98" s="3">
        <f t="shared" si="5"/>
        <v>0.19592875318066158</v>
      </c>
      <c r="G98">
        <f t="shared" si="6"/>
        <v>40</v>
      </c>
      <c r="H98">
        <f t="shared" si="7"/>
        <v>10</v>
      </c>
    </row>
    <row r="99" spans="1:8">
      <c r="A99" s="4">
        <v>44841</v>
      </c>
      <c r="B99">
        <v>61</v>
      </c>
      <c r="C99">
        <f>VLOOKUP(G99,WAU!A:C,3,)</f>
        <v>207</v>
      </c>
      <c r="D99">
        <f>VLOOKUP(H99,MAU!A:C,3,)</f>
        <v>393</v>
      </c>
      <c r="E99" s="3">
        <f t="shared" si="4"/>
        <v>0.29468599033816423</v>
      </c>
      <c r="F99" s="3">
        <f t="shared" si="5"/>
        <v>0.15521628498727735</v>
      </c>
      <c r="G99">
        <f t="shared" si="6"/>
        <v>40</v>
      </c>
      <c r="H99">
        <f t="shared" si="7"/>
        <v>10</v>
      </c>
    </row>
    <row r="100" spans="1:8">
      <c r="A100" s="4">
        <v>44842</v>
      </c>
      <c r="B100">
        <v>56</v>
      </c>
      <c r="C100">
        <f>VLOOKUP(G100,WAU!A:C,3,)</f>
        <v>207</v>
      </c>
      <c r="D100">
        <f>VLOOKUP(H100,MAU!A:C,3,)</f>
        <v>393</v>
      </c>
      <c r="E100" s="3">
        <f t="shared" si="4"/>
        <v>0.27053140096618356</v>
      </c>
      <c r="F100" s="3">
        <f t="shared" si="5"/>
        <v>0.14249363867684478</v>
      </c>
      <c r="G100">
        <f t="shared" si="6"/>
        <v>40</v>
      </c>
      <c r="H100">
        <f t="shared" si="7"/>
        <v>10</v>
      </c>
    </row>
    <row r="101" spans="1:8">
      <c r="A101" s="4">
        <v>44843</v>
      </c>
      <c r="B101">
        <v>66</v>
      </c>
      <c r="C101">
        <f>VLOOKUP(G101,WAU!A:C,3,)</f>
        <v>207</v>
      </c>
      <c r="D101">
        <f>VLOOKUP(H101,MAU!A:C,3,)</f>
        <v>393</v>
      </c>
      <c r="E101" s="3">
        <f t="shared" si="4"/>
        <v>0.3188405797101449</v>
      </c>
      <c r="F101" s="3">
        <f t="shared" si="5"/>
        <v>0.16793893129770993</v>
      </c>
      <c r="G101">
        <f t="shared" si="6"/>
        <v>40</v>
      </c>
      <c r="H101">
        <f t="shared" si="7"/>
        <v>10</v>
      </c>
    </row>
    <row r="102" spans="1:8">
      <c r="A102" s="4">
        <v>44844</v>
      </c>
      <c r="B102">
        <v>51</v>
      </c>
      <c r="C102">
        <f>VLOOKUP(G102,WAU!A:C,3,)</f>
        <v>204</v>
      </c>
      <c r="D102">
        <f>VLOOKUP(H102,MAU!A:C,3,)</f>
        <v>393</v>
      </c>
      <c r="E102" s="3">
        <f t="shared" si="4"/>
        <v>0.25</v>
      </c>
      <c r="F102" s="3">
        <f t="shared" si="5"/>
        <v>0.12977099236641221</v>
      </c>
      <c r="G102">
        <f t="shared" si="6"/>
        <v>41</v>
      </c>
      <c r="H102">
        <f t="shared" si="7"/>
        <v>10</v>
      </c>
    </row>
    <row r="103" spans="1:8">
      <c r="A103" s="4">
        <v>44845</v>
      </c>
      <c r="B103">
        <v>59</v>
      </c>
      <c r="C103">
        <f>VLOOKUP(G103,WAU!A:C,3,)</f>
        <v>204</v>
      </c>
      <c r="D103">
        <f>VLOOKUP(H103,MAU!A:C,3,)</f>
        <v>393</v>
      </c>
      <c r="E103" s="3">
        <f t="shared" si="4"/>
        <v>0.28921568627450983</v>
      </c>
      <c r="F103" s="3">
        <f t="shared" si="5"/>
        <v>0.15012722646310434</v>
      </c>
      <c r="G103">
        <f t="shared" si="6"/>
        <v>41</v>
      </c>
      <c r="H103">
        <f t="shared" si="7"/>
        <v>10</v>
      </c>
    </row>
    <row r="104" spans="1:8">
      <c r="A104" s="4">
        <v>44846</v>
      </c>
      <c r="B104">
        <v>65</v>
      </c>
      <c r="C104">
        <f>VLOOKUP(G104,WAU!A:C,3,)</f>
        <v>204</v>
      </c>
      <c r="D104">
        <f>VLOOKUP(H104,MAU!A:C,3,)</f>
        <v>393</v>
      </c>
      <c r="E104" s="3">
        <f t="shared" si="4"/>
        <v>0.31862745098039214</v>
      </c>
      <c r="F104" s="3">
        <f t="shared" si="5"/>
        <v>0.16539440203562342</v>
      </c>
      <c r="G104">
        <f t="shared" si="6"/>
        <v>41</v>
      </c>
      <c r="H104">
        <f t="shared" si="7"/>
        <v>10</v>
      </c>
    </row>
    <row r="105" spans="1:8">
      <c r="A105" s="4">
        <v>44847</v>
      </c>
      <c r="B105">
        <v>53</v>
      </c>
      <c r="C105">
        <f>VLOOKUP(G105,WAU!A:C,3,)</f>
        <v>204</v>
      </c>
      <c r="D105">
        <f>VLOOKUP(H105,MAU!A:C,3,)</f>
        <v>393</v>
      </c>
      <c r="E105" s="3">
        <f t="shared" si="4"/>
        <v>0.25980392156862747</v>
      </c>
      <c r="F105" s="3">
        <f t="shared" si="5"/>
        <v>0.13486005089058525</v>
      </c>
      <c r="G105">
        <f t="shared" si="6"/>
        <v>41</v>
      </c>
      <c r="H105">
        <f t="shared" si="7"/>
        <v>10</v>
      </c>
    </row>
    <row r="106" spans="1:8">
      <c r="A106" s="4">
        <v>44848</v>
      </c>
      <c r="B106">
        <v>72</v>
      </c>
      <c r="C106">
        <f>VLOOKUP(G106,WAU!A:C,3,)</f>
        <v>204</v>
      </c>
      <c r="D106">
        <f>VLOOKUP(H106,MAU!A:C,3,)</f>
        <v>393</v>
      </c>
      <c r="E106" s="3">
        <f t="shared" si="4"/>
        <v>0.35294117647058826</v>
      </c>
      <c r="F106" s="3">
        <f t="shared" si="5"/>
        <v>0.18320610687022901</v>
      </c>
      <c r="G106">
        <f t="shared" si="6"/>
        <v>41</v>
      </c>
      <c r="H106">
        <f t="shared" si="7"/>
        <v>10</v>
      </c>
    </row>
    <row r="107" spans="1:8">
      <c r="A107" s="4">
        <v>44849</v>
      </c>
      <c r="B107">
        <v>62</v>
      </c>
      <c r="C107">
        <f>VLOOKUP(G107,WAU!A:C,3,)</f>
        <v>204</v>
      </c>
      <c r="D107">
        <f>VLOOKUP(H107,MAU!A:C,3,)</f>
        <v>393</v>
      </c>
      <c r="E107" s="3">
        <f t="shared" si="4"/>
        <v>0.30392156862745096</v>
      </c>
      <c r="F107" s="3">
        <f t="shared" si="5"/>
        <v>0.15776081424936386</v>
      </c>
      <c r="G107">
        <f t="shared" si="6"/>
        <v>41</v>
      </c>
      <c r="H107">
        <f t="shared" si="7"/>
        <v>10</v>
      </c>
    </row>
    <row r="108" spans="1:8">
      <c r="A108" s="4">
        <v>44850</v>
      </c>
      <c r="B108">
        <v>62</v>
      </c>
      <c r="C108">
        <f>VLOOKUP(G108,WAU!A:C,3,)</f>
        <v>204</v>
      </c>
      <c r="D108">
        <f>VLOOKUP(H108,MAU!A:C,3,)</f>
        <v>393</v>
      </c>
      <c r="E108" s="3">
        <f t="shared" si="4"/>
        <v>0.30392156862745096</v>
      </c>
      <c r="F108" s="3">
        <f t="shared" si="5"/>
        <v>0.15776081424936386</v>
      </c>
      <c r="G108">
        <f t="shared" si="6"/>
        <v>41</v>
      </c>
      <c r="H108">
        <f t="shared" si="7"/>
        <v>10</v>
      </c>
    </row>
    <row r="109" spans="1:8">
      <c r="A109" s="4">
        <v>44851</v>
      </c>
      <c r="B109">
        <v>70</v>
      </c>
      <c r="C109">
        <f>VLOOKUP(G109,WAU!A:C,3,)</f>
        <v>201</v>
      </c>
      <c r="D109">
        <f>VLOOKUP(H109,MAU!A:C,3,)</f>
        <v>393</v>
      </c>
      <c r="E109" s="3">
        <f t="shared" si="4"/>
        <v>0.34825870646766172</v>
      </c>
      <c r="F109" s="3">
        <f t="shared" si="5"/>
        <v>0.17811704834605599</v>
      </c>
      <c r="G109">
        <f t="shared" si="6"/>
        <v>42</v>
      </c>
      <c r="H109">
        <f t="shared" si="7"/>
        <v>10</v>
      </c>
    </row>
    <row r="110" spans="1:8">
      <c r="A110" s="4">
        <v>44852</v>
      </c>
      <c r="B110">
        <v>62</v>
      </c>
      <c r="C110">
        <f>VLOOKUP(G110,WAU!A:C,3,)</f>
        <v>201</v>
      </c>
      <c r="D110">
        <f>VLOOKUP(H110,MAU!A:C,3,)</f>
        <v>393</v>
      </c>
      <c r="E110" s="3">
        <f t="shared" si="4"/>
        <v>0.30845771144278605</v>
      </c>
      <c r="F110" s="3">
        <f t="shared" si="5"/>
        <v>0.15776081424936386</v>
      </c>
      <c r="G110">
        <f t="shared" si="6"/>
        <v>42</v>
      </c>
      <c r="H110">
        <f t="shared" si="7"/>
        <v>10</v>
      </c>
    </row>
    <row r="111" spans="1:8">
      <c r="A111" s="4">
        <v>44853</v>
      </c>
      <c r="B111">
        <v>82</v>
      </c>
      <c r="C111">
        <f>VLOOKUP(G111,WAU!A:C,3,)</f>
        <v>201</v>
      </c>
      <c r="D111">
        <f>VLOOKUP(H111,MAU!A:C,3,)</f>
        <v>393</v>
      </c>
      <c r="E111" s="3">
        <f t="shared" si="4"/>
        <v>0.4079601990049751</v>
      </c>
      <c r="F111" s="3">
        <f t="shared" si="5"/>
        <v>0.20865139949109415</v>
      </c>
      <c r="G111">
        <f t="shared" si="6"/>
        <v>42</v>
      </c>
      <c r="H111">
        <f t="shared" si="7"/>
        <v>10</v>
      </c>
    </row>
    <row r="112" spans="1:8">
      <c r="A112" s="4">
        <v>44854</v>
      </c>
      <c r="B112">
        <v>52</v>
      </c>
      <c r="C112">
        <f>VLOOKUP(G112,WAU!A:C,3,)</f>
        <v>201</v>
      </c>
      <c r="D112">
        <f>VLOOKUP(H112,MAU!A:C,3,)</f>
        <v>393</v>
      </c>
      <c r="E112" s="3">
        <f t="shared" si="4"/>
        <v>0.25870646766169153</v>
      </c>
      <c r="F112" s="3">
        <f t="shared" si="5"/>
        <v>0.13231552162849872</v>
      </c>
      <c r="G112">
        <f t="shared" si="6"/>
        <v>42</v>
      </c>
      <c r="H112">
        <f t="shared" si="7"/>
        <v>10</v>
      </c>
    </row>
    <row r="113" spans="1:8">
      <c r="A113" s="4">
        <v>44855</v>
      </c>
      <c r="B113">
        <v>65</v>
      </c>
      <c r="C113">
        <f>VLOOKUP(G113,WAU!A:C,3,)</f>
        <v>201</v>
      </c>
      <c r="D113">
        <f>VLOOKUP(H113,MAU!A:C,3,)</f>
        <v>393</v>
      </c>
      <c r="E113" s="3">
        <f t="shared" si="4"/>
        <v>0.32338308457711445</v>
      </c>
      <c r="F113" s="3">
        <f t="shared" si="5"/>
        <v>0.16539440203562342</v>
      </c>
      <c r="G113">
        <f t="shared" si="6"/>
        <v>42</v>
      </c>
      <c r="H113">
        <f t="shared" si="7"/>
        <v>10</v>
      </c>
    </row>
    <row r="114" spans="1:8">
      <c r="A114" s="4">
        <v>44856</v>
      </c>
      <c r="B114">
        <v>64</v>
      </c>
      <c r="C114">
        <f>VLOOKUP(G114,WAU!A:C,3,)</f>
        <v>201</v>
      </c>
      <c r="D114">
        <f>VLOOKUP(H114,MAU!A:C,3,)</f>
        <v>393</v>
      </c>
      <c r="E114" s="3">
        <f t="shared" si="4"/>
        <v>0.31840796019900497</v>
      </c>
      <c r="F114" s="3">
        <f t="shared" si="5"/>
        <v>0.16284987277353691</v>
      </c>
      <c r="G114">
        <f t="shared" si="6"/>
        <v>42</v>
      </c>
      <c r="H114">
        <f t="shared" si="7"/>
        <v>10</v>
      </c>
    </row>
    <row r="115" spans="1:8">
      <c r="A115" s="4">
        <v>44857</v>
      </c>
      <c r="B115">
        <v>57</v>
      </c>
      <c r="C115">
        <f>VLOOKUP(G115,WAU!A:C,3,)</f>
        <v>201</v>
      </c>
      <c r="D115">
        <f>VLOOKUP(H115,MAU!A:C,3,)</f>
        <v>393</v>
      </c>
      <c r="E115" s="3">
        <f t="shared" si="4"/>
        <v>0.28358208955223879</v>
      </c>
      <c r="F115" s="3">
        <f t="shared" si="5"/>
        <v>0.14503816793893129</v>
      </c>
      <c r="G115">
        <f t="shared" si="6"/>
        <v>42</v>
      </c>
      <c r="H115">
        <f t="shared" si="7"/>
        <v>10</v>
      </c>
    </row>
    <row r="116" spans="1:8">
      <c r="A116" s="4">
        <v>44858</v>
      </c>
      <c r="B116">
        <v>58</v>
      </c>
      <c r="C116">
        <f>VLOOKUP(G116,WAU!A:C,3,)</f>
        <v>213</v>
      </c>
      <c r="D116">
        <f>VLOOKUP(H116,MAU!A:C,3,)</f>
        <v>393</v>
      </c>
      <c r="E116" s="3">
        <f t="shared" si="4"/>
        <v>0.27230046948356806</v>
      </c>
      <c r="F116" s="3">
        <f t="shared" si="5"/>
        <v>0.1475826972010178</v>
      </c>
      <c r="G116">
        <f t="shared" si="6"/>
        <v>43</v>
      </c>
      <c r="H116">
        <f t="shared" si="7"/>
        <v>10</v>
      </c>
    </row>
    <row r="117" spans="1:8">
      <c r="A117" s="4">
        <v>44859</v>
      </c>
      <c r="B117">
        <v>66</v>
      </c>
      <c r="C117">
        <f>VLOOKUP(G117,WAU!A:C,3,)</f>
        <v>213</v>
      </c>
      <c r="D117">
        <f>VLOOKUP(H117,MAU!A:C,3,)</f>
        <v>393</v>
      </c>
      <c r="E117" s="3">
        <f t="shared" si="4"/>
        <v>0.30985915492957744</v>
      </c>
      <c r="F117" s="3">
        <f t="shared" si="5"/>
        <v>0.16793893129770993</v>
      </c>
      <c r="G117">
        <f t="shared" si="6"/>
        <v>43</v>
      </c>
      <c r="H117">
        <f t="shared" si="7"/>
        <v>10</v>
      </c>
    </row>
    <row r="118" spans="1:8">
      <c r="A118" s="4">
        <v>44860</v>
      </c>
      <c r="B118">
        <v>60</v>
      </c>
      <c r="C118">
        <f>VLOOKUP(G118,WAU!A:C,3,)</f>
        <v>213</v>
      </c>
      <c r="D118">
        <f>VLOOKUP(H118,MAU!A:C,3,)</f>
        <v>393</v>
      </c>
      <c r="E118" s="3">
        <f t="shared" si="4"/>
        <v>0.28169014084507044</v>
      </c>
      <c r="F118" s="3">
        <f t="shared" si="5"/>
        <v>0.15267175572519084</v>
      </c>
      <c r="G118">
        <f t="shared" si="6"/>
        <v>43</v>
      </c>
      <c r="H118">
        <f t="shared" si="7"/>
        <v>10</v>
      </c>
    </row>
    <row r="119" spans="1:8">
      <c r="A119" s="4">
        <v>44861</v>
      </c>
      <c r="B119">
        <v>55</v>
      </c>
      <c r="C119">
        <f>VLOOKUP(G119,WAU!A:C,3,)</f>
        <v>213</v>
      </c>
      <c r="D119">
        <f>VLOOKUP(H119,MAU!A:C,3,)</f>
        <v>393</v>
      </c>
      <c r="E119" s="3">
        <f t="shared" si="4"/>
        <v>0.25821596244131456</v>
      </c>
      <c r="F119" s="3">
        <f t="shared" si="5"/>
        <v>0.13994910941475827</v>
      </c>
      <c r="G119">
        <f t="shared" si="6"/>
        <v>43</v>
      </c>
      <c r="H119">
        <f t="shared" si="7"/>
        <v>10</v>
      </c>
    </row>
    <row r="120" spans="1:8">
      <c r="A120" s="4">
        <v>44862</v>
      </c>
      <c r="B120">
        <v>65</v>
      </c>
      <c r="C120">
        <f>VLOOKUP(G120,WAU!A:C,3,)</f>
        <v>213</v>
      </c>
      <c r="D120">
        <f>VLOOKUP(H120,MAU!A:C,3,)</f>
        <v>393</v>
      </c>
      <c r="E120" s="3">
        <f t="shared" si="4"/>
        <v>0.30516431924882631</v>
      </c>
      <c r="F120" s="3">
        <f t="shared" si="5"/>
        <v>0.16539440203562342</v>
      </c>
      <c r="G120">
        <f t="shared" si="6"/>
        <v>43</v>
      </c>
      <c r="H120">
        <f t="shared" si="7"/>
        <v>10</v>
      </c>
    </row>
    <row r="121" spans="1:8">
      <c r="A121" s="4">
        <v>44863</v>
      </c>
      <c r="B121">
        <v>54</v>
      </c>
      <c r="C121">
        <f>VLOOKUP(G121,WAU!A:C,3,)</f>
        <v>213</v>
      </c>
      <c r="D121">
        <f>VLOOKUP(H121,MAU!A:C,3,)</f>
        <v>393</v>
      </c>
      <c r="E121" s="3">
        <f t="shared" si="4"/>
        <v>0.25352112676056338</v>
      </c>
      <c r="F121" s="3">
        <f t="shared" si="5"/>
        <v>0.13740458015267176</v>
      </c>
      <c r="G121">
        <f t="shared" si="6"/>
        <v>43</v>
      </c>
      <c r="H121">
        <f t="shared" si="7"/>
        <v>10</v>
      </c>
    </row>
    <row r="122" spans="1:8">
      <c r="A122" s="4">
        <v>44864</v>
      </c>
      <c r="B122">
        <v>66</v>
      </c>
      <c r="C122">
        <f>VLOOKUP(G122,WAU!A:C,3,)</f>
        <v>213</v>
      </c>
      <c r="D122">
        <f>VLOOKUP(H122,MAU!A:C,3,)</f>
        <v>393</v>
      </c>
      <c r="E122" s="3">
        <f t="shared" si="4"/>
        <v>0.30985915492957744</v>
      </c>
      <c r="F122" s="3">
        <f t="shared" si="5"/>
        <v>0.16793893129770993</v>
      </c>
      <c r="G122">
        <f t="shared" si="6"/>
        <v>43</v>
      </c>
      <c r="H122">
        <f t="shared" si="7"/>
        <v>10</v>
      </c>
    </row>
    <row r="123" spans="1:8">
      <c r="A123" s="4">
        <v>44865</v>
      </c>
      <c r="B123">
        <v>72</v>
      </c>
      <c r="C123">
        <f>VLOOKUP(G123,WAU!A:C,3,)</f>
        <v>214</v>
      </c>
      <c r="D123">
        <f>VLOOKUP(H123,MAU!A:C,3,)</f>
        <v>393</v>
      </c>
      <c r="E123" s="3">
        <f t="shared" si="4"/>
        <v>0.3364485981308411</v>
      </c>
      <c r="F123" s="3">
        <f t="shared" si="5"/>
        <v>0.18320610687022901</v>
      </c>
      <c r="G123">
        <f t="shared" si="6"/>
        <v>44</v>
      </c>
      <c r="H123">
        <f t="shared" si="7"/>
        <v>10</v>
      </c>
    </row>
    <row r="124" spans="1:8">
      <c r="A124" s="4">
        <v>44866</v>
      </c>
      <c r="B124">
        <v>58</v>
      </c>
      <c r="C124">
        <f>VLOOKUP(G124,WAU!A:C,3,)</f>
        <v>214</v>
      </c>
      <c r="D124">
        <f>VLOOKUP(H124,MAU!A:C,3,)</f>
        <v>426</v>
      </c>
      <c r="E124" s="3">
        <f t="shared" si="4"/>
        <v>0.27102803738317754</v>
      </c>
      <c r="F124" s="3">
        <f t="shared" si="5"/>
        <v>0.13615023474178403</v>
      </c>
      <c r="G124">
        <f t="shared" si="6"/>
        <v>44</v>
      </c>
      <c r="H124">
        <f t="shared" si="7"/>
        <v>11</v>
      </c>
    </row>
    <row r="125" spans="1:8">
      <c r="A125" s="4">
        <v>44867</v>
      </c>
      <c r="B125">
        <v>55</v>
      </c>
      <c r="C125">
        <f>VLOOKUP(G125,WAU!A:C,3,)</f>
        <v>214</v>
      </c>
      <c r="D125">
        <f>VLOOKUP(H125,MAU!A:C,3,)</f>
        <v>426</v>
      </c>
      <c r="E125" s="3">
        <f t="shared" si="4"/>
        <v>0.2570093457943925</v>
      </c>
      <c r="F125" s="3">
        <f t="shared" si="5"/>
        <v>0.12910798122065728</v>
      </c>
      <c r="G125">
        <f t="shared" si="6"/>
        <v>44</v>
      </c>
      <c r="H125">
        <f t="shared" si="7"/>
        <v>11</v>
      </c>
    </row>
    <row r="126" spans="1:8">
      <c r="A126" s="4">
        <v>44868</v>
      </c>
      <c r="B126">
        <v>56</v>
      </c>
      <c r="C126">
        <f>VLOOKUP(G126,WAU!A:C,3,)</f>
        <v>214</v>
      </c>
      <c r="D126">
        <f>VLOOKUP(H126,MAU!A:C,3,)</f>
        <v>426</v>
      </c>
      <c r="E126" s="3">
        <f t="shared" si="4"/>
        <v>0.26168224299065418</v>
      </c>
      <c r="F126" s="3">
        <f t="shared" si="5"/>
        <v>0.13145539906103287</v>
      </c>
      <c r="G126">
        <f t="shared" si="6"/>
        <v>44</v>
      </c>
      <c r="H126">
        <f t="shared" si="7"/>
        <v>11</v>
      </c>
    </row>
    <row r="127" spans="1:8">
      <c r="A127" s="4">
        <v>44869</v>
      </c>
      <c r="B127">
        <v>63</v>
      </c>
      <c r="C127">
        <f>VLOOKUP(G127,WAU!A:C,3,)</f>
        <v>214</v>
      </c>
      <c r="D127">
        <f>VLOOKUP(H127,MAU!A:C,3,)</f>
        <v>426</v>
      </c>
      <c r="E127" s="3">
        <f t="shared" si="4"/>
        <v>0.29439252336448596</v>
      </c>
      <c r="F127" s="3">
        <f t="shared" si="5"/>
        <v>0.14788732394366197</v>
      </c>
      <c r="G127">
        <f t="shared" si="6"/>
        <v>44</v>
      </c>
      <c r="H127">
        <f t="shared" si="7"/>
        <v>11</v>
      </c>
    </row>
    <row r="128" spans="1:8">
      <c r="A128" s="4">
        <v>44870</v>
      </c>
      <c r="B128">
        <v>69</v>
      </c>
      <c r="C128">
        <f>VLOOKUP(G128,WAU!A:C,3,)</f>
        <v>214</v>
      </c>
      <c r="D128">
        <f>VLOOKUP(H128,MAU!A:C,3,)</f>
        <v>426</v>
      </c>
      <c r="E128" s="3">
        <f t="shared" si="4"/>
        <v>0.32242990654205606</v>
      </c>
      <c r="F128" s="3">
        <f t="shared" si="5"/>
        <v>0.1619718309859155</v>
      </c>
      <c r="G128">
        <f t="shared" si="6"/>
        <v>44</v>
      </c>
      <c r="H128">
        <f t="shared" si="7"/>
        <v>11</v>
      </c>
    </row>
    <row r="129" spans="1:8">
      <c r="A129" s="4">
        <v>44871</v>
      </c>
      <c r="B129">
        <v>62</v>
      </c>
      <c r="C129">
        <f>VLOOKUP(G129,WAU!A:C,3,)</f>
        <v>214</v>
      </c>
      <c r="D129">
        <f>VLOOKUP(H129,MAU!A:C,3,)</f>
        <v>426</v>
      </c>
      <c r="E129" s="3">
        <f t="shared" si="4"/>
        <v>0.28971962616822428</v>
      </c>
      <c r="F129" s="3">
        <f t="shared" si="5"/>
        <v>0.14553990610328638</v>
      </c>
      <c r="G129">
        <f t="shared" si="6"/>
        <v>44</v>
      </c>
      <c r="H129">
        <f t="shared" si="7"/>
        <v>11</v>
      </c>
    </row>
    <row r="130" spans="1:8">
      <c r="A130" s="4">
        <v>44872</v>
      </c>
      <c r="B130">
        <v>60</v>
      </c>
      <c r="C130">
        <f>VLOOKUP(G130,WAU!A:C,3,)</f>
        <v>203</v>
      </c>
      <c r="D130">
        <f>VLOOKUP(H130,MAU!A:C,3,)</f>
        <v>426</v>
      </c>
      <c r="E130" s="3">
        <f t="shared" si="4"/>
        <v>0.29556650246305421</v>
      </c>
      <c r="F130" s="3">
        <f t="shared" si="5"/>
        <v>0.14084507042253522</v>
      </c>
      <c r="G130">
        <f t="shared" si="6"/>
        <v>45</v>
      </c>
      <c r="H130">
        <f t="shared" si="7"/>
        <v>11</v>
      </c>
    </row>
    <row r="131" spans="1:8">
      <c r="A131" s="4">
        <v>44873</v>
      </c>
      <c r="B131">
        <v>60</v>
      </c>
      <c r="C131">
        <f>VLOOKUP(G131,WAU!A:C,3,)</f>
        <v>203</v>
      </c>
      <c r="D131">
        <f>VLOOKUP(H131,MAU!A:C,3,)</f>
        <v>426</v>
      </c>
      <c r="E131" s="3">
        <f t="shared" ref="E131:E194" si="8">B131/C131</f>
        <v>0.29556650246305421</v>
      </c>
      <c r="F131" s="3">
        <f t="shared" ref="F131:F194" si="9">B131/D131</f>
        <v>0.14084507042253522</v>
      </c>
      <c r="G131">
        <f t="shared" ref="G131:G194" si="10">_xlfn.ISOWEEKNUM(A131)</f>
        <v>45</v>
      </c>
      <c r="H131">
        <f t="shared" ref="H131:H194" si="11">MONTH(A131)</f>
        <v>11</v>
      </c>
    </row>
    <row r="132" spans="1:8">
      <c r="A132" s="4">
        <v>44874</v>
      </c>
      <c r="B132">
        <v>60</v>
      </c>
      <c r="C132">
        <f>VLOOKUP(G132,WAU!A:C,3,)</f>
        <v>203</v>
      </c>
      <c r="D132">
        <f>VLOOKUP(H132,MAU!A:C,3,)</f>
        <v>426</v>
      </c>
      <c r="E132" s="3">
        <f t="shared" si="8"/>
        <v>0.29556650246305421</v>
      </c>
      <c r="F132" s="3">
        <f t="shared" si="9"/>
        <v>0.14084507042253522</v>
      </c>
      <c r="G132">
        <f t="shared" si="10"/>
        <v>45</v>
      </c>
      <c r="H132">
        <f t="shared" si="11"/>
        <v>11</v>
      </c>
    </row>
    <row r="133" spans="1:8">
      <c r="A133" s="4">
        <v>44875</v>
      </c>
      <c r="B133">
        <v>55</v>
      </c>
      <c r="C133">
        <f>VLOOKUP(G133,WAU!A:C,3,)</f>
        <v>203</v>
      </c>
      <c r="D133">
        <f>VLOOKUP(H133,MAU!A:C,3,)</f>
        <v>426</v>
      </c>
      <c r="E133" s="3">
        <f t="shared" si="8"/>
        <v>0.27093596059113301</v>
      </c>
      <c r="F133" s="3">
        <f t="shared" si="9"/>
        <v>0.12910798122065728</v>
      </c>
      <c r="G133">
        <f t="shared" si="10"/>
        <v>45</v>
      </c>
      <c r="H133">
        <f t="shared" si="11"/>
        <v>11</v>
      </c>
    </row>
    <row r="134" spans="1:8">
      <c r="A134" s="4">
        <v>44876</v>
      </c>
      <c r="B134">
        <v>62</v>
      </c>
      <c r="C134">
        <f>VLOOKUP(G134,WAU!A:C,3,)</f>
        <v>203</v>
      </c>
      <c r="D134">
        <f>VLOOKUP(H134,MAU!A:C,3,)</f>
        <v>426</v>
      </c>
      <c r="E134" s="3">
        <f t="shared" si="8"/>
        <v>0.30541871921182268</v>
      </c>
      <c r="F134" s="3">
        <f t="shared" si="9"/>
        <v>0.14553990610328638</v>
      </c>
      <c r="G134">
        <f t="shared" si="10"/>
        <v>45</v>
      </c>
      <c r="H134">
        <f t="shared" si="11"/>
        <v>11</v>
      </c>
    </row>
    <row r="135" spans="1:8">
      <c r="A135" s="4">
        <v>44877</v>
      </c>
      <c r="B135">
        <v>53</v>
      </c>
      <c r="C135">
        <f>VLOOKUP(G135,WAU!A:C,3,)</f>
        <v>203</v>
      </c>
      <c r="D135">
        <f>VLOOKUP(H135,MAU!A:C,3,)</f>
        <v>426</v>
      </c>
      <c r="E135" s="3">
        <f t="shared" si="8"/>
        <v>0.26108374384236455</v>
      </c>
      <c r="F135" s="3">
        <f t="shared" si="9"/>
        <v>0.12441314553990611</v>
      </c>
      <c r="G135">
        <f t="shared" si="10"/>
        <v>45</v>
      </c>
      <c r="H135">
        <f t="shared" si="11"/>
        <v>11</v>
      </c>
    </row>
    <row r="136" spans="1:8">
      <c r="A136" s="4">
        <v>44878</v>
      </c>
      <c r="B136">
        <v>54</v>
      </c>
      <c r="C136">
        <f>VLOOKUP(G136,WAU!A:C,3,)</f>
        <v>203</v>
      </c>
      <c r="D136">
        <f>VLOOKUP(H136,MAU!A:C,3,)</f>
        <v>426</v>
      </c>
      <c r="E136" s="3">
        <f t="shared" si="8"/>
        <v>0.26600985221674878</v>
      </c>
      <c r="F136" s="3">
        <f t="shared" si="9"/>
        <v>0.12676056338028169</v>
      </c>
      <c r="G136">
        <f t="shared" si="10"/>
        <v>45</v>
      </c>
      <c r="H136">
        <f t="shared" si="11"/>
        <v>11</v>
      </c>
    </row>
    <row r="137" spans="1:8">
      <c r="A137" s="4">
        <v>44879</v>
      </c>
      <c r="B137">
        <v>46</v>
      </c>
      <c r="C137">
        <f>VLOOKUP(G137,WAU!A:C,3,)</f>
        <v>202</v>
      </c>
      <c r="D137">
        <f>VLOOKUP(H137,MAU!A:C,3,)</f>
        <v>426</v>
      </c>
      <c r="E137" s="3">
        <f t="shared" si="8"/>
        <v>0.22772277227722773</v>
      </c>
      <c r="F137" s="3">
        <f t="shared" si="9"/>
        <v>0.107981220657277</v>
      </c>
      <c r="G137">
        <f t="shared" si="10"/>
        <v>46</v>
      </c>
      <c r="H137">
        <f t="shared" si="11"/>
        <v>11</v>
      </c>
    </row>
    <row r="138" spans="1:8">
      <c r="A138" s="4">
        <v>44880</v>
      </c>
      <c r="B138">
        <v>55</v>
      </c>
      <c r="C138">
        <f>VLOOKUP(G138,WAU!A:C,3,)</f>
        <v>202</v>
      </c>
      <c r="D138">
        <f>VLOOKUP(H138,MAU!A:C,3,)</f>
        <v>426</v>
      </c>
      <c r="E138" s="3">
        <f t="shared" si="8"/>
        <v>0.2722772277227723</v>
      </c>
      <c r="F138" s="3">
        <f t="shared" si="9"/>
        <v>0.12910798122065728</v>
      </c>
      <c r="G138">
        <f t="shared" si="10"/>
        <v>46</v>
      </c>
      <c r="H138">
        <f t="shared" si="11"/>
        <v>11</v>
      </c>
    </row>
    <row r="139" spans="1:8">
      <c r="A139" s="4">
        <v>44881</v>
      </c>
      <c r="B139">
        <v>51</v>
      </c>
      <c r="C139">
        <f>VLOOKUP(G139,WAU!A:C,3,)</f>
        <v>202</v>
      </c>
      <c r="D139">
        <f>VLOOKUP(H139,MAU!A:C,3,)</f>
        <v>426</v>
      </c>
      <c r="E139" s="3">
        <f t="shared" si="8"/>
        <v>0.25247524752475248</v>
      </c>
      <c r="F139" s="3">
        <f t="shared" si="9"/>
        <v>0.11971830985915492</v>
      </c>
      <c r="G139">
        <f t="shared" si="10"/>
        <v>46</v>
      </c>
      <c r="H139">
        <f t="shared" si="11"/>
        <v>11</v>
      </c>
    </row>
    <row r="140" spans="1:8">
      <c r="A140" s="4">
        <v>44882</v>
      </c>
      <c r="B140">
        <v>58</v>
      </c>
      <c r="C140">
        <f>VLOOKUP(G140,WAU!A:C,3,)</f>
        <v>202</v>
      </c>
      <c r="D140">
        <f>VLOOKUP(H140,MAU!A:C,3,)</f>
        <v>426</v>
      </c>
      <c r="E140" s="3">
        <f t="shared" si="8"/>
        <v>0.28712871287128711</v>
      </c>
      <c r="F140" s="3">
        <f t="shared" si="9"/>
        <v>0.13615023474178403</v>
      </c>
      <c r="G140">
        <f t="shared" si="10"/>
        <v>46</v>
      </c>
      <c r="H140">
        <f t="shared" si="11"/>
        <v>11</v>
      </c>
    </row>
    <row r="141" spans="1:8">
      <c r="A141" s="4">
        <v>44883</v>
      </c>
      <c r="B141">
        <v>51</v>
      </c>
      <c r="C141">
        <f>VLOOKUP(G141,WAU!A:C,3,)</f>
        <v>202</v>
      </c>
      <c r="D141">
        <f>VLOOKUP(H141,MAU!A:C,3,)</f>
        <v>426</v>
      </c>
      <c r="E141" s="3">
        <f t="shared" si="8"/>
        <v>0.25247524752475248</v>
      </c>
      <c r="F141" s="3">
        <f t="shared" si="9"/>
        <v>0.11971830985915492</v>
      </c>
      <c r="G141">
        <f t="shared" si="10"/>
        <v>46</v>
      </c>
      <c r="H141">
        <f t="shared" si="11"/>
        <v>11</v>
      </c>
    </row>
    <row r="142" spans="1:8">
      <c r="A142" s="4">
        <v>44884</v>
      </c>
      <c r="B142">
        <v>40</v>
      </c>
      <c r="C142">
        <f>VLOOKUP(G142,WAU!A:C,3,)</f>
        <v>202</v>
      </c>
      <c r="D142">
        <f>VLOOKUP(H142,MAU!A:C,3,)</f>
        <v>426</v>
      </c>
      <c r="E142" s="3">
        <f t="shared" si="8"/>
        <v>0.19801980198019803</v>
      </c>
      <c r="F142" s="3">
        <f t="shared" si="9"/>
        <v>9.3896713615023469E-2</v>
      </c>
      <c r="G142">
        <f t="shared" si="10"/>
        <v>46</v>
      </c>
      <c r="H142">
        <f t="shared" si="11"/>
        <v>11</v>
      </c>
    </row>
    <row r="143" spans="1:8">
      <c r="A143" s="4">
        <v>44885</v>
      </c>
      <c r="B143">
        <v>50</v>
      </c>
      <c r="C143">
        <f>VLOOKUP(G143,WAU!A:C,3,)</f>
        <v>202</v>
      </c>
      <c r="D143">
        <f>VLOOKUP(H143,MAU!A:C,3,)</f>
        <v>426</v>
      </c>
      <c r="E143" s="3">
        <f t="shared" si="8"/>
        <v>0.24752475247524752</v>
      </c>
      <c r="F143" s="3">
        <f t="shared" si="9"/>
        <v>0.11737089201877934</v>
      </c>
      <c r="G143">
        <f t="shared" si="10"/>
        <v>46</v>
      </c>
      <c r="H143">
        <f t="shared" si="11"/>
        <v>11</v>
      </c>
    </row>
    <row r="144" spans="1:8">
      <c r="A144" s="4">
        <v>44886</v>
      </c>
      <c r="B144">
        <v>34</v>
      </c>
      <c r="C144">
        <f>VLOOKUP(G144,WAU!A:C,3,)</f>
        <v>167</v>
      </c>
      <c r="D144">
        <f>VLOOKUP(H144,MAU!A:C,3,)</f>
        <v>426</v>
      </c>
      <c r="E144" s="3">
        <f t="shared" si="8"/>
        <v>0.20359281437125748</v>
      </c>
      <c r="F144" s="3">
        <f t="shared" si="9"/>
        <v>7.9812206572769953E-2</v>
      </c>
      <c r="G144">
        <f t="shared" si="10"/>
        <v>47</v>
      </c>
      <c r="H144">
        <f t="shared" si="11"/>
        <v>11</v>
      </c>
    </row>
    <row r="145" spans="1:8">
      <c r="A145" s="4">
        <v>44887</v>
      </c>
      <c r="B145">
        <v>41</v>
      </c>
      <c r="C145">
        <f>VLOOKUP(G145,WAU!A:C,3,)</f>
        <v>167</v>
      </c>
      <c r="D145">
        <f>VLOOKUP(H145,MAU!A:C,3,)</f>
        <v>426</v>
      </c>
      <c r="E145" s="3">
        <f t="shared" si="8"/>
        <v>0.24550898203592814</v>
      </c>
      <c r="F145" s="3">
        <f t="shared" si="9"/>
        <v>9.6244131455399062E-2</v>
      </c>
      <c r="G145">
        <f t="shared" si="10"/>
        <v>47</v>
      </c>
      <c r="H145">
        <f t="shared" si="11"/>
        <v>11</v>
      </c>
    </row>
    <row r="146" spans="1:8">
      <c r="A146" s="4">
        <v>44888</v>
      </c>
      <c r="B146">
        <v>39</v>
      </c>
      <c r="C146">
        <f>VLOOKUP(G146,WAU!A:C,3,)</f>
        <v>167</v>
      </c>
      <c r="D146">
        <f>VLOOKUP(H146,MAU!A:C,3,)</f>
        <v>426</v>
      </c>
      <c r="E146" s="3">
        <f t="shared" si="8"/>
        <v>0.23353293413173654</v>
      </c>
      <c r="F146" s="3">
        <f t="shared" si="9"/>
        <v>9.154929577464789E-2</v>
      </c>
      <c r="G146">
        <f t="shared" si="10"/>
        <v>47</v>
      </c>
      <c r="H146">
        <f t="shared" si="11"/>
        <v>11</v>
      </c>
    </row>
    <row r="147" spans="1:8">
      <c r="A147" s="4">
        <v>44889</v>
      </c>
      <c r="B147">
        <v>32</v>
      </c>
      <c r="C147">
        <f>VLOOKUP(G147,WAU!A:C,3,)</f>
        <v>167</v>
      </c>
      <c r="D147">
        <f>VLOOKUP(H147,MAU!A:C,3,)</f>
        <v>426</v>
      </c>
      <c r="E147" s="3">
        <f t="shared" si="8"/>
        <v>0.19161676646706588</v>
      </c>
      <c r="F147" s="3">
        <f t="shared" si="9"/>
        <v>7.5117370892018781E-2</v>
      </c>
      <c r="G147">
        <f t="shared" si="10"/>
        <v>47</v>
      </c>
      <c r="H147">
        <f t="shared" si="11"/>
        <v>11</v>
      </c>
    </row>
    <row r="148" spans="1:8">
      <c r="A148" s="4">
        <v>44890</v>
      </c>
      <c r="B148">
        <v>32</v>
      </c>
      <c r="C148">
        <f>VLOOKUP(G148,WAU!A:C,3,)</f>
        <v>167</v>
      </c>
      <c r="D148">
        <f>VLOOKUP(H148,MAU!A:C,3,)</f>
        <v>426</v>
      </c>
      <c r="E148" s="3">
        <f t="shared" si="8"/>
        <v>0.19161676646706588</v>
      </c>
      <c r="F148" s="3">
        <f t="shared" si="9"/>
        <v>7.5117370892018781E-2</v>
      </c>
      <c r="G148">
        <f t="shared" si="10"/>
        <v>47</v>
      </c>
      <c r="H148">
        <f t="shared" si="11"/>
        <v>11</v>
      </c>
    </row>
    <row r="149" spans="1:8">
      <c r="A149" s="4">
        <v>44891</v>
      </c>
      <c r="B149">
        <v>31</v>
      </c>
      <c r="C149">
        <f>VLOOKUP(G149,WAU!A:C,3,)</f>
        <v>167</v>
      </c>
      <c r="D149">
        <f>VLOOKUP(H149,MAU!A:C,3,)</f>
        <v>426</v>
      </c>
      <c r="E149" s="3">
        <f t="shared" si="8"/>
        <v>0.18562874251497005</v>
      </c>
      <c r="F149" s="3">
        <f t="shared" si="9"/>
        <v>7.2769953051643188E-2</v>
      </c>
      <c r="G149">
        <f t="shared" si="10"/>
        <v>47</v>
      </c>
      <c r="H149">
        <f t="shared" si="11"/>
        <v>11</v>
      </c>
    </row>
    <row r="150" spans="1:8">
      <c r="A150" s="4">
        <v>44892</v>
      </c>
      <c r="B150">
        <v>35</v>
      </c>
      <c r="C150">
        <f>VLOOKUP(G150,WAU!A:C,3,)</f>
        <v>167</v>
      </c>
      <c r="D150">
        <f>VLOOKUP(H150,MAU!A:C,3,)</f>
        <v>426</v>
      </c>
      <c r="E150" s="3">
        <f t="shared" si="8"/>
        <v>0.20958083832335328</v>
      </c>
      <c r="F150" s="3">
        <f t="shared" si="9"/>
        <v>8.2159624413145546E-2</v>
      </c>
      <c r="G150">
        <f t="shared" si="10"/>
        <v>47</v>
      </c>
      <c r="H150">
        <f t="shared" si="11"/>
        <v>11</v>
      </c>
    </row>
    <row r="151" spans="1:8">
      <c r="A151" s="4">
        <v>44893</v>
      </c>
      <c r="B151">
        <v>32</v>
      </c>
      <c r="C151">
        <f>VLOOKUP(G151,WAU!A:C,3,)</f>
        <v>157</v>
      </c>
      <c r="D151">
        <f>VLOOKUP(H151,MAU!A:C,3,)</f>
        <v>426</v>
      </c>
      <c r="E151" s="3">
        <f t="shared" si="8"/>
        <v>0.20382165605095542</v>
      </c>
      <c r="F151" s="3">
        <f t="shared" si="9"/>
        <v>7.5117370892018781E-2</v>
      </c>
      <c r="G151">
        <f t="shared" si="10"/>
        <v>48</v>
      </c>
      <c r="H151">
        <f t="shared" si="11"/>
        <v>11</v>
      </c>
    </row>
    <row r="152" spans="1:8">
      <c r="A152" s="4">
        <v>44894</v>
      </c>
      <c r="B152">
        <v>23</v>
      </c>
      <c r="C152">
        <f>VLOOKUP(G152,WAU!A:C,3,)</f>
        <v>157</v>
      </c>
      <c r="D152">
        <f>VLOOKUP(H152,MAU!A:C,3,)</f>
        <v>426</v>
      </c>
      <c r="E152" s="3">
        <f t="shared" si="8"/>
        <v>0.1464968152866242</v>
      </c>
      <c r="F152" s="3">
        <f t="shared" si="9"/>
        <v>5.39906103286385E-2</v>
      </c>
      <c r="G152">
        <f t="shared" si="10"/>
        <v>48</v>
      </c>
      <c r="H152">
        <f t="shared" si="11"/>
        <v>11</v>
      </c>
    </row>
    <row r="153" spans="1:8">
      <c r="A153" s="4">
        <v>44895</v>
      </c>
      <c r="B153">
        <v>35</v>
      </c>
      <c r="C153">
        <f>VLOOKUP(G153,WAU!A:C,3,)</f>
        <v>157</v>
      </c>
      <c r="D153">
        <f>VLOOKUP(H153,MAU!A:C,3,)</f>
        <v>426</v>
      </c>
      <c r="E153" s="3">
        <f t="shared" si="8"/>
        <v>0.22292993630573249</v>
      </c>
      <c r="F153" s="3">
        <f t="shared" si="9"/>
        <v>8.2159624413145546E-2</v>
      </c>
      <c r="G153">
        <f t="shared" si="10"/>
        <v>48</v>
      </c>
      <c r="H153">
        <f t="shared" si="11"/>
        <v>11</v>
      </c>
    </row>
    <row r="154" spans="1:8">
      <c r="A154" s="4">
        <v>44896</v>
      </c>
      <c r="B154">
        <v>32</v>
      </c>
      <c r="C154">
        <f>VLOOKUP(G154,WAU!A:C,3,)</f>
        <v>157</v>
      </c>
      <c r="D154">
        <f>VLOOKUP(H154,MAU!A:C,3,)</f>
        <v>390</v>
      </c>
      <c r="E154" s="3">
        <f t="shared" si="8"/>
        <v>0.20382165605095542</v>
      </c>
      <c r="F154" s="3">
        <f t="shared" si="9"/>
        <v>8.2051282051282051E-2</v>
      </c>
      <c r="G154">
        <f t="shared" si="10"/>
        <v>48</v>
      </c>
      <c r="H154">
        <f t="shared" si="11"/>
        <v>12</v>
      </c>
    </row>
    <row r="155" spans="1:8">
      <c r="A155" s="4">
        <v>44897</v>
      </c>
      <c r="B155">
        <v>25</v>
      </c>
      <c r="C155">
        <f>VLOOKUP(G155,WAU!A:C,3,)</f>
        <v>157</v>
      </c>
      <c r="D155">
        <f>VLOOKUP(H155,MAU!A:C,3,)</f>
        <v>390</v>
      </c>
      <c r="E155" s="3">
        <f t="shared" si="8"/>
        <v>0.15923566878980891</v>
      </c>
      <c r="F155" s="3">
        <f t="shared" si="9"/>
        <v>6.4102564102564097E-2</v>
      </c>
      <c r="G155">
        <f t="shared" si="10"/>
        <v>48</v>
      </c>
      <c r="H155">
        <f t="shared" si="11"/>
        <v>12</v>
      </c>
    </row>
    <row r="156" spans="1:8">
      <c r="A156" s="4">
        <v>44898</v>
      </c>
      <c r="B156">
        <v>19</v>
      </c>
      <c r="C156">
        <f>VLOOKUP(G156,WAU!A:C,3,)</f>
        <v>157</v>
      </c>
      <c r="D156">
        <f>VLOOKUP(H156,MAU!A:C,3,)</f>
        <v>390</v>
      </c>
      <c r="E156" s="3">
        <f t="shared" si="8"/>
        <v>0.12101910828025478</v>
      </c>
      <c r="F156" s="3">
        <f t="shared" si="9"/>
        <v>4.8717948717948718E-2</v>
      </c>
      <c r="G156">
        <f t="shared" si="10"/>
        <v>48</v>
      </c>
      <c r="H156">
        <f t="shared" si="11"/>
        <v>12</v>
      </c>
    </row>
    <row r="157" spans="1:8">
      <c r="A157" s="4">
        <v>44899</v>
      </c>
      <c r="B157">
        <v>30</v>
      </c>
      <c r="C157">
        <f>VLOOKUP(G157,WAU!A:C,3,)</f>
        <v>157</v>
      </c>
      <c r="D157">
        <f>VLOOKUP(H157,MAU!A:C,3,)</f>
        <v>390</v>
      </c>
      <c r="E157" s="3">
        <f t="shared" si="8"/>
        <v>0.19108280254777071</v>
      </c>
      <c r="F157" s="3">
        <f t="shared" si="9"/>
        <v>7.6923076923076927E-2</v>
      </c>
      <c r="G157">
        <f t="shared" si="10"/>
        <v>48</v>
      </c>
      <c r="H157">
        <f t="shared" si="11"/>
        <v>12</v>
      </c>
    </row>
    <row r="158" spans="1:8">
      <c r="A158" s="4">
        <v>44900</v>
      </c>
      <c r="B158">
        <v>23</v>
      </c>
      <c r="C158">
        <f>VLOOKUP(G158,WAU!A:C,3,)</f>
        <v>156</v>
      </c>
      <c r="D158">
        <f>VLOOKUP(H158,MAU!A:C,3,)</f>
        <v>390</v>
      </c>
      <c r="E158" s="3">
        <f t="shared" si="8"/>
        <v>0.14743589743589744</v>
      </c>
      <c r="F158" s="3">
        <f t="shared" si="9"/>
        <v>5.8974358974358973E-2</v>
      </c>
      <c r="G158">
        <f t="shared" si="10"/>
        <v>49</v>
      </c>
      <c r="H158">
        <f t="shared" si="11"/>
        <v>12</v>
      </c>
    </row>
    <row r="159" spans="1:8">
      <c r="A159" s="4">
        <v>44901</v>
      </c>
      <c r="B159">
        <v>32</v>
      </c>
      <c r="C159">
        <f>VLOOKUP(G159,WAU!A:C,3,)</f>
        <v>156</v>
      </c>
      <c r="D159">
        <f>VLOOKUP(H159,MAU!A:C,3,)</f>
        <v>390</v>
      </c>
      <c r="E159" s="3">
        <f t="shared" si="8"/>
        <v>0.20512820512820512</v>
      </c>
      <c r="F159" s="3">
        <f t="shared" si="9"/>
        <v>8.2051282051282051E-2</v>
      </c>
      <c r="G159">
        <f t="shared" si="10"/>
        <v>49</v>
      </c>
      <c r="H159">
        <f t="shared" si="11"/>
        <v>12</v>
      </c>
    </row>
    <row r="160" spans="1:8">
      <c r="A160" s="4">
        <v>44902</v>
      </c>
      <c r="B160">
        <v>35</v>
      </c>
      <c r="C160">
        <f>VLOOKUP(G160,WAU!A:C,3,)</f>
        <v>156</v>
      </c>
      <c r="D160">
        <f>VLOOKUP(H160,MAU!A:C,3,)</f>
        <v>390</v>
      </c>
      <c r="E160" s="3">
        <f t="shared" si="8"/>
        <v>0.22435897435897437</v>
      </c>
      <c r="F160" s="3">
        <f t="shared" si="9"/>
        <v>8.9743589743589744E-2</v>
      </c>
      <c r="G160">
        <f t="shared" si="10"/>
        <v>49</v>
      </c>
      <c r="H160">
        <f t="shared" si="11"/>
        <v>12</v>
      </c>
    </row>
    <row r="161" spans="1:8">
      <c r="A161" s="4">
        <v>44903</v>
      </c>
      <c r="B161">
        <v>29</v>
      </c>
      <c r="C161">
        <f>VLOOKUP(G161,WAU!A:C,3,)</f>
        <v>156</v>
      </c>
      <c r="D161">
        <f>VLOOKUP(H161,MAU!A:C,3,)</f>
        <v>390</v>
      </c>
      <c r="E161" s="3">
        <f t="shared" si="8"/>
        <v>0.1858974358974359</v>
      </c>
      <c r="F161" s="3">
        <f t="shared" si="9"/>
        <v>7.4358974358974358E-2</v>
      </c>
      <c r="G161">
        <f t="shared" si="10"/>
        <v>49</v>
      </c>
      <c r="H161">
        <f t="shared" si="11"/>
        <v>12</v>
      </c>
    </row>
    <row r="162" spans="1:8">
      <c r="A162" s="4">
        <v>44904</v>
      </c>
      <c r="B162">
        <v>36</v>
      </c>
      <c r="C162">
        <f>VLOOKUP(G162,WAU!A:C,3,)</f>
        <v>156</v>
      </c>
      <c r="D162">
        <f>VLOOKUP(H162,MAU!A:C,3,)</f>
        <v>390</v>
      </c>
      <c r="E162" s="3">
        <f t="shared" si="8"/>
        <v>0.23076923076923078</v>
      </c>
      <c r="F162" s="3">
        <f t="shared" si="9"/>
        <v>9.2307692307692313E-2</v>
      </c>
      <c r="G162">
        <f t="shared" si="10"/>
        <v>49</v>
      </c>
      <c r="H162">
        <f t="shared" si="11"/>
        <v>12</v>
      </c>
    </row>
    <row r="163" spans="1:8">
      <c r="A163" s="4">
        <v>44905</v>
      </c>
      <c r="B163">
        <v>30</v>
      </c>
      <c r="C163">
        <f>VLOOKUP(G163,WAU!A:C,3,)</f>
        <v>156</v>
      </c>
      <c r="D163">
        <f>VLOOKUP(H163,MAU!A:C,3,)</f>
        <v>390</v>
      </c>
      <c r="E163" s="3">
        <f t="shared" si="8"/>
        <v>0.19230769230769232</v>
      </c>
      <c r="F163" s="3">
        <f t="shared" si="9"/>
        <v>7.6923076923076927E-2</v>
      </c>
      <c r="G163">
        <f t="shared" si="10"/>
        <v>49</v>
      </c>
      <c r="H163">
        <f t="shared" si="11"/>
        <v>12</v>
      </c>
    </row>
    <row r="164" spans="1:8">
      <c r="A164" s="4">
        <v>44906</v>
      </c>
      <c r="B164">
        <v>25</v>
      </c>
      <c r="C164">
        <f>VLOOKUP(G164,WAU!A:C,3,)</f>
        <v>156</v>
      </c>
      <c r="D164">
        <f>VLOOKUP(H164,MAU!A:C,3,)</f>
        <v>390</v>
      </c>
      <c r="E164" s="3">
        <f t="shared" si="8"/>
        <v>0.16025641025641027</v>
      </c>
      <c r="F164" s="3">
        <f t="shared" si="9"/>
        <v>6.4102564102564097E-2</v>
      </c>
      <c r="G164">
        <f t="shared" si="10"/>
        <v>49</v>
      </c>
      <c r="H164">
        <f t="shared" si="11"/>
        <v>12</v>
      </c>
    </row>
    <row r="165" spans="1:8">
      <c r="A165" s="4">
        <v>44907</v>
      </c>
      <c r="B165">
        <v>31</v>
      </c>
      <c r="C165">
        <f>VLOOKUP(G165,WAU!A:C,3,)</f>
        <v>153</v>
      </c>
      <c r="D165">
        <f>VLOOKUP(H165,MAU!A:C,3,)</f>
        <v>390</v>
      </c>
      <c r="E165" s="3">
        <f t="shared" si="8"/>
        <v>0.20261437908496732</v>
      </c>
      <c r="F165" s="3">
        <f t="shared" si="9"/>
        <v>7.9487179487179482E-2</v>
      </c>
      <c r="G165">
        <f t="shared" si="10"/>
        <v>50</v>
      </c>
      <c r="H165">
        <f t="shared" si="11"/>
        <v>12</v>
      </c>
    </row>
    <row r="166" spans="1:8">
      <c r="A166" s="4">
        <v>44908</v>
      </c>
      <c r="B166">
        <v>34</v>
      </c>
      <c r="C166">
        <f>VLOOKUP(G166,WAU!A:C,3,)</f>
        <v>153</v>
      </c>
      <c r="D166">
        <f>VLOOKUP(H166,MAU!A:C,3,)</f>
        <v>390</v>
      </c>
      <c r="E166" s="3">
        <f t="shared" si="8"/>
        <v>0.22222222222222221</v>
      </c>
      <c r="F166" s="3">
        <f t="shared" si="9"/>
        <v>8.7179487179487175E-2</v>
      </c>
      <c r="G166">
        <f t="shared" si="10"/>
        <v>50</v>
      </c>
      <c r="H166">
        <f t="shared" si="11"/>
        <v>12</v>
      </c>
    </row>
    <row r="167" spans="1:8">
      <c r="A167" s="4">
        <v>44909</v>
      </c>
      <c r="B167">
        <v>22</v>
      </c>
      <c r="C167">
        <f>VLOOKUP(G167,WAU!A:C,3,)</f>
        <v>153</v>
      </c>
      <c r="D167">
        <f>VLOOKUP(H167,MAU!A:C,3,)</f>
        <v>390</v>
      </c>
      <c r="E167" s="3">
        <f t="shared" si="8"/>
        <v>0.1437908496732026</v>
      </c>
      <c r="F167" s="3">
        <f t="shared" si="9"/>
        <v>5.6410256410256411E-2</v>
      </c>
      <c r="G167">
        <f t="shared" si="10"/>
        <v>50</v>
      </c>
      <c r="H167">
        <f t="shared" si="11"/>
        <v>12</v>
      </c>
    </row>
    <row r="168" spans="1:8">
      <c r="A168" s="4">
        <v>44910</v>
      </c>
      <c r="B168">
        <v>26</v>
      </c>
      <c r="C168">
        <f>VLOOKUP(G168,WAU!A:C,3,)</f>
        <v>153</v>
      </c>
      <c r="D168">
        <f>VLOOKUP(H168,MAU!A:C,3,)</f>
        <v>390</v>
      </c>
      <c r="E168" s="3">
        <f t="shared" si="8"/>
        <v>0.16993464052287582</v>
      </c>
      <c r="F168" s="3">
        <f t="shared" si="9"/>
        <v>6.6666666666666666E-2</v>
      </c>
      <c r="G168">
        <f t="shared" si="10"/>
        <v>50</v>
      </c>
      <c r="H168">
        <f t="shared" si="11"/>
        <v>12</v>
      </c>
    </row>
    <row r="169" spans="1:8">
      <c r="A169" s="4">
        <v>44911</v>
      </c>
      <c r="B169">
        <v>27</v>
      </c>
      <c r="C169">
        <f>VLOOKUP(G169,WAU!A:C,3,)</f>
        <v>153</v>
      </c>
      <c r="D169">
        <f>VLOOKUP(H169,MAU!A:C,3,)</f>
        <v>390</v>
      </c>
      <c r="E169" s="3">
        <f t="shared" si="8"/>
        <v>0.17647058823529413</v>
      </c>
      <c r="F169" s="3">
        <f t="shared" si="9"/>
        <v>6.9230769230769235E-2</v>
      </c>
      <c r="G169">
        <f t="shared" si="10"/>
        <v>50</v>
      </c>
      <c r="H169">
        <f t="shared" si="11"/>
        <v>12</v>
      </c>
    </row>
    <row r="170" spans="1:8">
      <c r="A170" s="4">
        <v>44912</v>
      </c>
      <c r="B170">
        <v>28</v>
      </c>
      <c r="C170">
        <f>VLOOKUP(G170,WAU!A:C,3,)</f>
        <v>153</v>
      </c>
      <c r="D170">
        <f>VLOOKUP(H170,MAU!A:C,3,)</f>
        <v>390</v>
      </c>
      <c r="E170" s="3">
        <f t="shared" si="8"/>
        <v>0.18300653594771241</v>
      </c>
      <c r="F170" s="3">
        <f t="shared" si="9"/>
        <v>7.179487179487179E-2</v>
      </c>
      <c r="G170">
        <f t="shared" si="10"/>
        <v>50</v>
      </c>
      <c r="H170">
        <f t="shared" si="11"/>
        <v>12</v>
      </c>
    </row>
    <row r="171" spans="1:8">
      <c r="A171" s="4">
        <v>44913</v>
      </c>
      <c r="B171">
        <v>20</v>
      </c>
      <c r="C171">
        <f>VLOOKUP(G171,WAU!A:C,3,)</f>
        <v>153</v>
      </c>
      <c r="D171">
        <f>VLOOKUP(H171,MAU!A:C,3,)</f>
        <v>390</v>
      </c>
      <c r="E171" s="3">
        <f t="shared" si="8"/>
        <v>0.13071895424836602</v>
      </c>
      <c r="F171" s="3">
        <f t="shared" si="9"/>
        <v>5.128205128205128E-2</v>
      </c>
      <c r="G171">
        <f t="shared" si="10"/>
        <v>50</v>
      </c>
      <c r="H171">
        <f t="shared" si="11"/>
        <v>12</v>
      </c>
    </row>
    <row r="172" spans="1:8">
      <c r="A172" s="4">
        <v>44914</v>
      </c>
      <c r="B172">
        <v>32</v>
      </c>
      <c r="C172">
        <f>VLOOKUP(G172,WAU!A:C,3,)</f>
        <v>145</v>
      </c>
      <c r="D172">
        <f>VLOOKUP(H172,MAU!A:C,3,)</f>
        <v>390</v>
      </c>
      <c r="E172" s="3">
        <f t="shared" si="8"/>
        <v>0.22068965517241379</v>
      </c>
      <c r="F172" s="3">
        <f t="shared" si="9"/>
        <v>8.2051282051282051E-2</v>
      </c>
      <c r="G172">
        <f t="shared" si="10"/>
        <v>51</v>
      </c>
      <c r="H172">
        <f t="shared" si="11"/>
        <v>12</v>
      </c>
    </row>
    <row r="173" spans="1:8">
      <c r="A173" s="4">
        <v>44915</v>
      </c>
      <c r="B173">
        <v>28</v>
      </c>
      <c r="C173">
        <f>VLOOKUP(G173,WAU!A:C,3,)</f>
        <v>145</v>
      </c>
      <c r="D173">
        <f>VLOOKUP(H173,MAU!A:C,3,)</f>
        <v>390</v>
      </c>
      <c r="E173" s="3">
        <f t="shared" si="8"/>
        <v>0.19310344827586207</v>
      </c>
      <c r="F173" s="3">
        <f t="shared" si="9"/>
        <v>7.179487179487179E-2</v>
      </c>
      <c r="G173">
        <f t="shared" si="10"/>
        <v>51</v>
      </c>
      <c r="H173">
        <f t="shared" si="11"/>
        <v>12</v>
      </c>
    </row>
    <row r="174" spans="1:8">
      <c r="A174" s="4">
        <v>44916</v>
      </c>
      <c r="B174">
        <v>28</v>
      </c>
      <c r="C174">
        <f>VLOOKUP(G174,WAU!A:C,3,)</f>
        <v>145</v>
      </c>
      <c r="D174">
        <f>VLOOKUP(H174,MAU!A:C,3,)</f>
        <v>390</v>
      </c>
      <c r="E174" s="3">
        <f t="shared" si="8"/>
        <v>0.19310344827586207</v>
      </c>
      <c r="F174" s="3">
        <f t="shared" si="9"/>
        <v>7.179487179487179E-2</v>
      </c>
      <c r="G174">
        <f t="shared" si="10"/>
        <v>51</v>
      </c>
      <c r="H174">
        <f t="shared" si="11"/>
        <v>12</v>
      </c>
    </row>
    <row r="175" spans="1:8">
      <c r="A175" s="4">
        <v>44917</v>
      </c>
      <c r="B175">
        <v>29</v>
      </c>
      <c r="C175">
        <f>VLOOKUP(G175,WAU!A:C,3,)</f>
        <v>145</v>
      </c>
      <c r="D175">
        <f>VLOOKUP(H175,MAU!A:C,3,)</f>
        <v>390</v>
      </c>
      <c r="E175" s="3">
        <f t="shared" si="8"/>
        <v>0.2</v>
      </c>
      <c r="F175" s="3">
        <f t="shared" si="9"/>
        <v>7.4358974358974358E-2</v>
      </c>
      <c r="G175">
        <f t="shared" si="10"/>
        <v>51</v>
      </c>
      <c r="H175">
        <f t="shared" si="11"/>
        <v>12</v>
      </c>
    </row>
    <row r="176" spans="1:8">
      <c r="A176" s="4">
        <v>44918</v>
      </c>
      <c r="B176">
        <v>36</v>
      </c>
      <c r="C176">
        <f>VLOOKUP(G176,WAU!A:C,3,)</f>
        <v>145</v>
      </c>
      <c r="D176">
        <f>VLOOKUP(H176,MAU!A:C,3,)</f>
        <v>390</v>
      </c>
      <c r="E176" s="3">
        <f t="shared" si="8"/>
        <v>0.24827586206896551</v>
      </c>
      <c r="F176" s="3">
        <f t="shared" si="9"/>
        <v>9.2307692307692313E-2</v>
      </c>
      <c r="G176">
        <f t="shared" si="10"/>
        <v>51</v>
      </c>
      <c r="H176">
        <f t="shared" si="11"/>
        <v>12</v>
      </c>
    </row>
    <row r="177" spans="1:8">
      <c r="A177" s="4">
        <v>44919</v>
      </c>
      <c r="B177">
        <v>24</v>
      </c>
      <c r="C177">
        <f>VLOOKUP(G177,WAU!A:C,3,)</f>
        <v>145</v>
      </c>
      <c r="D177">
        <f>VLOOKUP(H177,MAU!A:C,3,)</f>
        <v>390</v>
      </c>
      <c r="E177" s="3">
        <f t="shared" si="8"/>
        <v>0.16551724137931034</v>
      </c>
      <c r="F177" s="3">
        <f t="shared" si="9"/>
        <v>6.1538461538461542E-2</v>
      </c>
      <c r="G177">
        <f t="shared" si="10"/>
        <v>51</v>
      </c>
      <c r="H177">
        <f t="shared" si="11"/>
        <v>12</v>
      </c>
    </row>
    <row r="178" spans="1:8">
      <c r="A178" s="4">
        <v>44920</v>
      </c>
      <c r="B178">
        <v>33</v>
      </c>
      <c r="C178">
        <f>VLOOKUP(G178,WAU!A:C,3,)</f>
        <v>145</v>
      </c>
      <c r="D178">
        <f>VLOOKUP(H178,MAU!A:C,3,)</f>
        <v>390</v>
      </c>
      <c r="E178" s="3">
        <f t="shared" si="8"/>
        <v>0.22758620689655173</v>
      </c>
      <c r="F178" s="3">
        <f t="shared" si="9"/>
        <v>8.461538461538462E-2</v>
      </c>
      <c r="G178">
        <f t="shared" si="10"/>
        <v>51</v>
      </c>
      <c r="H178">
        <f t="shared" si="11"/>
        <v>12</v>
      </c>
    </row>
    <row r="179" spans="1:8">
      <c r="A179" s="4">
        <v>44921</v>
      </c>
      <c r="B179">
        <v>26</v>
      </c>
      <c r="C179">
        <f>VLOOKUP(G179,WAU!A:C,3,)</f>
        <v>141</v>
      </c>
      <c r="D179">
        <f>VLOOKUP(H179,MAU!A:C,3,)</f>
        <v>390</v>
      </c>
      <c r="E179" s="3">
        <f t="shared" si="8"/>
        <v>0.18439716312056736</v>
      </c>
      <c r="F179" s="3">
        <f t="shared" si="9"/>
        <v>6.6666666666666666E-2</v>
      </c>
      <c r="G179">
        <f t="shared" si="10"/>
        <v>52</v>
      </c>
      <c r="H179">
        <f t="shared" si="11"/>
        <v>12</v>
      </c>
    </row>
    <row r="180" spans="1:8">
      <c r="A180" s="4">
        <v>44922</v>
      </c>
      <c r="B180">
        <v>24</v>
      </c>
      <c r="C180">
        <f>VLOOKUP(G180,WAU!A:C,3,)</f>
        <v>141</v>
      </c>
      <c r="D180">
        <f>VLOOKUP(H180,MAU!A:C,3,)</f>
        <v>390</v>
      </c>
      <c r="E180" s="3">
        <f t="shared" si="8"/>
        <v>0.1702127659574468</v>
      </c>
      <c r="F180" s="3">
        <f t="shared" si="9"/>
        <v>6.1538461538461542E-2</v>
      </c>
      <c r="G180">
        <f t="shared" si="10"/>
        <v>52</v>
      </c>
      <c r="H180">
        <f t="shared" si="11"/>
        <v>12</v>
      </c>
    </row>
    <row r="181" spans="1:8">
      <c r="A181" s="4">
        <v>44923</v>
      </c>
      <c r="B181">
        <v>32</v>
      </c>
      <c r="C181">
        <f>VLOOKUP(G181,WAU!A:C,3,)</f>
        <v>141</v>
      </c>
      <c r="D181">
        <f>VLOOKUP(H181,MAU!A:C,3,)</f>
        <v>390</v>
      </c>
      <c r="E181" s="3">
        <f t="shared" si="8"/>
        <v>0.22695035460992907</v>
      </c>
      <c r="F181" s="3">
        <f t="shared" si="9"/>
        <v>8.2051282051282051E-2</v>
      </c>
      <c r="G181">
        <f t="shared" si="10"/>
        <v>52</v>
      </c>
      <c r="H181">
        <f t="shared" si="11"/>
        <v>12</v>
      </c>
    </row>
    <row r="182" spans="1:8">
      <c r="A182" s="4">
        <v>44924</v>
      </c>
      <c r="B182">
        <v>29</v>
      </c>
      <c r="C182">
        <f>VLOOKUP(G182,WAU!A:C,3,)</f>
        <v>141</v>
      </c>
      <c r="D182">
        <f>VLOOKUP(H182,MAU!A:C,3,)</f>
        <v>390</v>
      </c>
      <c r="E182" s="3">
        <f t="shared" si="8"/>
        <v>0.20567375886524822</v>
      </c>
      <c r="F182" s="3">
        <f t="shared" si="9"/>
        <v>7.4358974358974358E-2</v>
      </c>
      <c r="G182">
        <f t="shared" si="10"/>
        <v>52</v>
      </c>
      <c r="H182">
        <f t="shared" si="11"/>
        <v>12</v>
      </c>
    </row>
    <row r="183" spans="1:8">
      <c r="A183" s="4">
        <v>44925</v>
      </c>
      <c r="B183">
        <v>22</v>
      </c>
      <c r="C183">
        <f>VLOOKUP(G183,WAU!A:C,3,)</f>
        <v>141</v>
      </c>
      <c r="D183">
        <f>VLOOKUP(H183,MAU!A:C,3,)</f>
        <v>390</v>
      </c>
      <c r="E183" s="3">
        <f t="shared" si="8"/>
        <v>0.15602836879432624</v>
      </c>
      <c r="F183" s="3">
        <f t="shared" si="9"/>
        <v>5.6410256410256411E-2</v>
      </c>
      <c r="G183">
        <f t="shared" si="10"/>
        <v>52</v>
      </c>
      <c r="H183">
        <f t="shared" si="11"/>
        <v>12</v>
      </c>
    </row>
    <row r="184" spans="1:8">
      <c r="A184" s="4">
        <v>44926</v>
      </c>
      <c r="B184">
        <v>37</v>
      </c>
      <c r="C184">
        <f>VLOOKUP(G184,WAU!A:C,3,)</f>
        <v>141</v>
      </c>
      <c r="D184">
        <f>VLOOKUP(H184,MAU!A:C,3,)</f>
        <v>390</v>
      </c>
      <c r="E184" s="3">
        <f t="shared" si="8"/>
        <v>0.26241134751773049</v>
      </c>
      <c r="F184" s="3">
        <f t="shared" si="9"/>
        <v>9.4871794871794868E-2</v>
      </c>
      <c r="G184">
        <f t="shared" si="10"/>
        <v>52</v>
      </c>
      <c r="H184">
        <f t="shared" si="11"/>
        <v>12</v>
      </c>
    </row>
    <row r="185" spans="1:8">
      <c r="A185" s="4">
        <v>44927</v>
      </c>
      <c r="B185">
        <v>24</v>
      </c>
      <c r="C185">
        <f>VLOOKUP(G185,WAU!A:C,3,)</f>
        <v>141</v>
      </c>
      <c r="D185">
        <f>VLOOKUP(H185,MAU!A:C,3,)</f>
        <v>536</v>
      </c>
      <c r="E185" s="3">
        <f t="shared" si="8"/>
        <v>0.1702127659574468</v>
      </c>
      <c r="F185" s="3">
        <f t="shared" si="9"/>
        <v>4.4776119402985072E-2</v>
      </c>
      <c r="G185">
        <f t="shared" si="10"/>
        <v>52</v>
      </c>
      <c r="H185">
        <f t="shared" si="11"/>
        <v>1</v>
      </c>
    </row>
    <row r="186" spans="1:8">
      <c r="A186" s="4">
        <v>44928</v>
      </c>
      <c r="B186">
        <v>35</v>
      </c>
      <c r="C186">
        <f>VLOOKUP(G186,WAU!A:C,3,)</f>
        <v>190</v>
      </c>
      <c r="D186">
        <f>VLOOKUP(H186,MAU!A:C,3,)</f>
        <v>536</v>
      </c>
      <c r="E186" s="3">
        <f t="shared" si="8"/>
        <v>0.18421052631578946</v>
      </c>
      <c r="F186" s="3">
        <f t="shared" si="9"/>
        <v>6.5298507462686561E-2</v>
      </c>
      <c r="G186">
        <f t="shared" si="10"/>
        <v>1</v>
      </c>
      <c r="H186">
        <f t="shared" si="11"/>
        <v>1</v>
      </c>
    </row>
    <row r="187" spans="1:8">
      <c r="A187" s="4">
        <v>44929</v>
      </c>
      <c r="B187">
        <v>40</v>
      </c>
      <c r="C187">
        <f>VLOOKUP(G187,WAU!A:C,3,)</f>
        <v>190</v>
      </c>
      <c r="D187">
        <f>VLOOKUP(H187,MAU!A:C,3,)</f>
        <v>536</v>
      </c>
      <c r="E187" s="3">
        <f t="shared" si="8"/>
        <v>0.21052631578947367</v>
      </c>
      <c r="F187" s="3">
        <f t="shared" si="9"/>
        <v>7.4626865671641784E-2</v>
      </c>
      <c r="G187">
        <f t="shared" si="10"/>
        <v>1</v>
      </c>
      <c r="H187">
        <f t="shared" si="11"/>
        <v>1</v>
      </c>
    </row>
    <row r="188" spans="1:8">
      <c r="A188" s="4">
        <v>44930</v>
      </c>
      <c r="B188">
        <v>46</v>
      </c>
      <c r="C188">
        <f>VLOOKUP(G188,WAU!A:C,3,)</f>
        <v>190</v>
      </c>
      <c r="D188">
        <f>VLOOKUP(H188,MAU!A:C,3,)</f>
        <v>536</v>
      </c>
      <c r="E188" s="3">
        <f t="shared" si="8"/>
        <v>0.24210526315789474</v>
      </c>
      <c r="F188" s="3">
        <f t="shared" si="9"/>
        <v>8.5820895522388058E-2</v>
      </c>
      <c r="G188">
        <f t="shared" si="10"/>
        <v>1</v>
      </c>
      <c r="H188">
        <f t="shared" si="11"/>
        <v>1</v>
      </c>
    </row>
    <row r="189" spans="1:8">
      <c r="A189" s="4">
        <v>44931</v>
      </c>
      <c r="B189">
        <v>36</v>
      </c>
      <c r="C189">
        <f>VLOOKUP(G189,WAU!A:C,3,)</f>
        <v>190</v>
      </c>
      <c r="D189">
        <f>VLOOKUP(H189,MAU!A:C,3,)</f>
        <v>536</v>
      </c>
      <c r="E189" s="3">
        <f t="shared" si="8"/>
        <v>0.18947368421052632</v>
      </c>
      <c r="F189" s="3">
        <f t="shared" si="9"/>
        <v>6.7164179104477612E-2</v>
      </c>
      <c r="G189">
        <f t="shared" si="10"/>
        <v>1</v>
      </c>
      <c r="H189">
        <f t="shared" si="11"/>
        <v>1</v>
      </c>
    </row>
    <row r="190" spans="1:8">
      <c r="A190" s="4">
        <v>44932</v>
      </c>
      <c r="B190">
        <v>46</v>
      </c>
      <c r="C190">
        <f>VLOOKUP(G190,WAU!A:C,3,)</f>
        <v>190</v>
      </c>
      <c r="D190">
        <f>VLOOKUP(H190,MAU!A:C,3,)</f>
        <v>536</v>
      </c>
      <c r="E190" s="3">
        <f t="shared" si="8"/>
        <v>0.24210526315789474</v>
      </c>
      <c r="F190" s="3">
        <f t="shared" si="9"/>
        <v>8.5820895522388058E-2</v>
      </c>
      <c r="G190">
        <f t="shared" si="10"/>
        <v>1</v>
      </c>
      <c r="H190">
        <f t="shared" si="11"/>
        <v>1</v>
      </c>
    </row>
    <row r="191" spans="1:8">
      <c r="A191" s="4">
        <v>44933</v>
      </c>
      <c r="B191">
        <v>35</v>
      </c>
      <c r="C191">
        <f>VLOOKUP(G191,WAU!A:C,3,)</f>
        <v>190</v>
      </c>
      <c r="D191">
        <f>VLOOKUP(H191,MAU!A:C,3,)</f>
        <v>536</v>
      </c>
      <c r="E191" s="3">
        <f t="shared" si="8"/>
        <v>0.18421052631578946</v>
      </c>
      <c r="F191" s="3">
        <f t="shared" si="9"/>
        <v>6.5298507462686561E-2</v>
      </c>
      <c r="G191">
        <f t="shared" si="10"/>
        <v>1</v>
      </c>
      <c r="H191">
        <f t="shared" si="11"/>
        <v>1</v>
      </c>
    </row>
    <row r="192" spans="1:8">
      <c r="A192" s="4">
        <v>44934</v>
      </c>
      <c r="B192">
        <v>53</v>
      </c>
      <c r="C192">
        <f>VLOOKUP(G192,WAU!A:C,3,)</f>
        <v>190</v>
      </c>
      <c r="D192">
        <f>VLOOKUP(H192,MAU!A:C,3,)</f>
        <v>536</v>
      </c>
      <c r="E192" s="3">
        <f t="shared" si="8"/>
        <v>0.27894736842105261</v>
      </c>
      <c r="F192" s="3">
        <f t="shared" si="9"/>
        <v>9.8880597014925367E-2</v>
      </c>
      <c r="G192">
        <f t="shared" si="10"/>
        <v>1</v>
      </c>
      <c r="H192">
        <f t="shared" si="11"/>
        <v>1</v>
      </c>
    </row>
    <row r="193" spans="1:8">
      <c r="A193" s="4">
        <v>44935</v>
      </c>
      <c r="B193">
        <v>53</v>
      </c>
      <c r="C193">
        <f>VLOOKUP(G193,WAU!A:C,3,)</f>
        <v>233</v>
      </c>
      <c r="D193">
        <f>VLOOKUP(H193,MAU!A:C,3,)</f>
        <v>536</v>
      </c>
      <c r="E193" s="3">
        <f t="shared" si="8"/>
        <v>0.22746781115879827</v>
      </c>
      <c r="F193" s="3">
        <f t="shared" si="9"/>
        <v>9.8880597014925367E-2</v>
      </c>
      <c r="G193">
        <f t="shared" si="10"/>
        <v>2</v>
      </c>
      <c r="H193">
        <f t="shared" si="11"/>
        <v>1</v>
      </c>
    </row>
    <row r="194" spans="1:8">
      <c r="A194" s="4">
        <v>44936</v>
      </c>
      <c r="B194">
        <v>52</v>
      </c>
      <c r="C194">
        <f>VLOOKUP(G194,WAU!A:C,3,)</f>
        <v>233</v>
      </c>
      <c r="D194">
        <f>VLOOKUP(H194,MAU!A:C,3,)</f>
        <v>536</v>
      </c>
      <c r="E194" s="3">
        <f t="shared" si="8"/>
        <v>0.22317596566523606</v>
      </c>
      <c r="F194" s="3">
        <f t="shared" si="9"/>
        <v>9.7014925373134331E-2</v>
      </c>
      <c r="G194">
        <f t="shared" si="10"/>
        <v>2</v>
      </c>
      <c r="H194">
        <f t="shared" si="11"/>
        <v>1</v>
      </c>
    </row>
    <row r="195" spans="1:8">
      <c r="A195" s="4">
        <v>44937</v>
      </c>
      <c r="B195">
        <v>65</v>
      </c>
      <c r="C195">
        <f>VLOOKUP(G195,WAU!A:C,3,)</f>
        <v>233</v>
      </c>
      <c r="D195">
        <f>VLOOKUP(H195,MAU!A:C,3,)</f>
        <v>536</v>
      </c>
      <c r="E195" s="3">
        <f t="shared" ref="E195:E258" si="12">B195/C195</f>
        <v>0.27896995708154504</v>
      </c>
      <c r="F195" s="3">
        <f t="shared" ref="F195:F258" si="13">B195/D195</f>
        <v>0.12126865671641791</v>
      </c>
      <c r="G195">
        <f t="shared" ref="G195:G258" si="14">_xlfn.ISOWEEKNUM(A195)</f>
        <v>2</v>
      </c>
      <c r="H195">
        <f t="shared" ref="H195:H258" si="15">MONTH(A195)</f>
        <v>1</v>
      </c>
    </row>
    <row r="196" spans="1:8">
      <c r="A196" s="4">
        <v>44938</v>
      </c>
      <c r="B196">
        <v>52</v>
      </c>
      <c r="C196">
        <f>VLOOKUP(G196,WAU!A:C,3,)</f>
        <v>233</v>
      </c>
      <c r="D196">
        <f>VLOOKUP(H196,MAU!A:C,3,)</f>
        <v>536</v>
      </c>
      <c r="E196" s="3">
        <f t="shared" si="12"/>
        <v>0.22317596566523606</v>
      </c>
      <c r="F196" s="3">
        <f t="shared" si="13"/>
        <v>9.7014925373134331E-2</v>
      </c>
      <c r="G196">
        <f t="shared" si="14"/>
        <v>2</v>
      </c>
      <c r="H196">
        <f t="shared" si="15"/>
        <v>1</v>
      </c>
    </row>
    <row r="197" spans="1:8">
      <c r="A197" s="4">
        <v>44939</v>
      </c>
      <c r="B197">
        <v>62</v>
      </c>
      <c r="C197">
        <f>VLOOKUP(G197,WAU!A:C,3,)</f>
        <v>233</v>
      </c>
      <c r="D197">
        <f>VLOOKUP(H197,MAU!A:C,3,)</f>
        <v>536</v>
      </c>
      <c r="E197" s="3">
        <f t="shared" si="12"/>
        <v>0.26609442060085836</v>
      </c>
      <c r="F197" s="3">
        <f t="shared" si="13"/>
        <v>0.11567164179104478</v>
      </c>
      <c r="G197">
        <f t="shared" si="14"/>
        <v>2</v>
      </c>
      <c r="H197">
        <f t="shared" si="15"/>
        <v>1</v>
      </c>
    </row>
    <row r="198" spans="1:8">
      <c r="A198" s="4">
        <v>44940</v>
      </c>
      <c r="B198">
        <v>77</v>
      </c>
      <c r="C198">
        <f>VLOOKUP(G198,WAU!A:C,3,)</f>
        <v>233</v>
      </c>
      <c r="D198">
        <f>VLOOKUP(H198,MAU!A:C,3,)</f>
        <v>536</v>
      </c>
      <c r="E198" s="3">
        <f t="shared" si="12"/>
        <v>0.33047210300429186</v>
      </c>
      <c r="F198" s="3">
        <f t="shared" si="13"/>
        <v>0.14365671641791045</v>
      </c>
      <c r="G198">
        <f t="shared" si="14"/>
        <v>2</v>
      </c>
      <c r="H198">
        <f t="shared" si="15"/>
        <v>1</v>
      </c>
    </row>
    <row r="199" spans="1:8">
      <c r="A199" s="4">
        <v>44941</v>
      </c>
      <c r="B199">
        <v>61</v>
      </c>
      <c r="C199">
        <f>VLOOKUP(G199,WAU!A:C,3,)</f>
        <v>233</v>
      </c>
      <c r="D199">
        <f>VLOOKUP(H199,MAU!A:C,3,)</f>
        <v>536</v>
      </c>
      <c r="E199" s="3">
        <f t="shared" si="12"/>
        <v>0.26180257510729615</v>
      </c>
      <c r="F199" s="3">
        <f t="shared" si="13"/>
        <v>0.11380597014925373</v>
      </c>
      <c r="G199">
        <f t="shared" si="14"/>
        <v>2</v>
      </c>
      <c r="H199">
        <f t="shared" si="15"/>
        <v>1</v>
      </c>
    </row>
    <row r="200" spans="1:8">
      <c r="A200" s="4">
        <v>44942</v>
      </c>
      <c r="B200">
        <v>70</v>
      </c>
      <c r="C200">
        <f>VLOOKUP(G200,WAU!A:C,3,)</f>
        <v>272</v>
      </c>
      <c r="D200">
        <f>VLOOKUP(H200,MAU!A:C,3,)</f>
        <v>536</v>
      </c>
      <c r="E200" s="3">
        <f t="shared" si="12"/>
        <v>0.25735294117647056</v>
      </c>
      <c r="F200" s="3">
        <f t="shared" si="13"/>
        <v>0.13059701492537312</v>
      </c>
      <c r="G200">
        <f t="shared" si="14"/>
        <v>3</v>
      </c>
      <c r="H200">
        <f t="shared" si="15"/>
        <v>1</v>
      </c>
    </row>
    <row r="201" spans="1:8">
      <c r="A201" s="4">
        <v>44943</v>
      </c>
      <c r="B201">
        <v>66</v>
      </c>
      <c r="C201">
        <f>VLOOKUP(G201,WAU!A:C,3,)</f>
        <v>272</v>
      </c>
      <c r="D201">
        <f>VLOOKUP(H201,MAU!A:C,3,)</f>
        <v>536</v>
      </c>
      <c r="E201" s="3">
        <f t="shared" si="12"/>
        <v>0.24264705882352941</v>
      </c>
      <c r="F201" s="3">
        <f t="shared" si="13"/>
        <v>0.12313432835820895</v>
      </c>
      <c r="G201">
        <f t="shared" si="14"/>
        <v>3</v>
      </c>
      <c r="H201">
        <f t="shared" si="15"/>
        <v>1</v>
      </c>
    </row>
    <row r="202" spans="1:8">
      <c r="A202" s="4">
        <v>44944</v>
      </c>
      <c r="B202">
        <v>73</v>
      </c>
      <c r="C202">
        <f>VLOOKUP(G202,WAU!A:C,3,)</f>
        <v>272</v>
      </c>
      <c r="D202">
        <f>VLOOKUP(H202,MAU!A:C,3,)</f>
        <v>536</v>
      </c>
      <c r="E202" s="3">
        <f t="shared" si="12"/>
        <v>0.26838235294117646</v>
      </c>
      <c r="F202" s="3">
        <f t="shared" si="13"/>
        <v>0.13619402985074627</v>
      </c>
      <c r="G202">
        <f t="shared" si="14"/>
        <v>3</v>
      </c>
      <c r="H202">
        <f t="shared" si="15"/>
        <v>1</v>
      </c>
    </row>
    <row r="203" spans="1:8">
      <c r="A203" s="4">
        <v>44945</v>
      </c>
      <c r="B203">
        <v>73</v>
      </c>
      <c r="C203">
        <f>VLOOKUP(G203,WAU!A:C,3,)</f>
        <v>272</v>
      </c>
      <c r="D203">
        <f>VLOOKUP(H203,MAU!A:C,3,)</f>
        <v>536</v>
      </c>
      <c r="E203" s="3">
        <f t="shared" si="12"/>
        <v>0.26838235294117646</v>
      </c>
      <c r="F203" s="3">
        <f t="shared" si="13"/>
        <v>0.13619402985074627</v>
      </c>
      <c r="G203">
        <f t="shared" si="14"/>
        <v>3</v>
      </c>
      <c r="H203">
        <f t="shared" si="15"/>
        <v>1</v>
      </c>
    </row>
    <row r="204" spans="1:8">
      <c r="A204" s="4">
        <v>44946</v>
      </c>
      <c r="B204">
        <v>80</v>
      </c>
      <c r="C204">
        <f>VLOOKUP(G204,WAU!A:C,3,)</f>
        <v>272</v>
      </c>
      <c r="D204">
        <f>VLOOKUP(H204,MAU!A:C,3,)</f>
        <v>536</v>
      </c>
      <c r="E204" s="3">
        <f t="shared" si="12"/>
        <v>0.29411764705882354</v>
      </c>
      <c r="F204" s="3">
        <f t="shared" si="13"/>
        <v>0.14925373134328357</v>
      </c>
      <c r="G204">
        <f t="shared" si="14"/>
        <v>3</v>
      </c>
      <c r="H204">
        <f t="shared" si="15"/>
        <v>1</v>
      </c>
    </row>
    <row r="205" spans="1:8">
      <c r="A205" s="4">
        <v>44947</v>
      </c>
      <c r="B205">
        <v>75</v>
      </c>
      <c r="C205">
        <f>VLOOKUP(G205,WAU!A:C,3,)</f>
        <v>272</v>
      </c>
      <c r="D205">
        <f>VLOOKUP(H205,MAU!A:C,3,)</f>
        <v>536</v>
      </c>
      <c r="E205" s="3">
        <f t="shared" si="12"/>
        <v>0.27573529411764708</v>
      </c>
      <c r="F205" s="3">
        <f t="shared" si="13"/>
        <v>0.13992537313432835</v>
      </c>
      <c r="G205">
        <f t="shared" si="14"/>
        <v>3</v>
      </c>
      <c r="H205">
        <f t="shared" si="15"/>
        <v>1</v>
      </c>
    </row>
    <row r="206" spans="1:8">
      <c r="A206" s="4">
        <v>44948</v>
      </c>
      <c r="B206">
        <v>90</v>
      </c>
      <c r="C206">
        <f>VLOOKUP(G206,WAU!A:C,3,)</f>
        <v>272</v>
      </c>
      <c r="D206">
        <f>VLOOKUP(H206,MAU!A:C,3,)</f>
        <v>536</v>
      </c>
      <c r="E206" s="3">
        <f t="shared" si="12"/>
        <v>0.33088235294117646</v>
      </c>
      <c r="F206" s="3">
        <f t="shared" si="13"/>
        <v>0.16791044776119404</v>
      </c>
      <c r="G206">
        <f t="shared" si="14"/>
        <v>3</v>
      </c>
      <c r="H206">
        <f t="shared" si="15"/>
        <v>1</v>
      </c>
    </row>
    <row r="207" spans="1:8">
      <c r="A207" s="4">
        <v>44949</v>
      </c>
      <c r="B207">
        <v>78</v>
      </c>
      <c r="C207">
        <f>VLOOKUP(G207,WAU!A:C,3,)</f>
        <v>295</v>
      </c>
      <c r="D207">
        <f>VLOOKUP(H207,MAU!A:C,3,)</f>
        <v>536</v>
      </c>
      <c r="E207" s="3">
        <f t="shared" si="12"/>
        <v>0.26440677966101694</v>
      </c>
      <c r="F207" s="3">
        <f t="shared" si="13"/>
        <v>0.1455223880597015</v>
      </c>
      <c r="G207">
        <f t="shared" si="14"/>
        <v>4</v>
      </c>
      <c r="H207">
        <f t="shared" si="15"/>
        <v>1</v>
      </c>
    </row>
    <row r="208" spans="1:8">
      <c r="A208" s="4">
        <v>44950</v>
      </c>
      <c r="B208">
        <v>90</v>
      </c>
      <c r="C208">
        <f>VLOOKUP(G208,WAU!A:C,3,)</f>
        <v>295</v>
      </c>
      <c r="D208">
        <f>VLOOKUP(H208,MAU!A:C,3,)</f>
        <v>536</v>
      </c>
      <c r="E208" s="3">
        <f t="shared" si="12"/>
        <v>0.30508474576271188</v>
      </c>
      <c r="F208" s="3">
        <f t="shared" si="13"/>
        <v>0.16791044776119404</v>
      </c>
      <c r="G208">
        <f t="shared" si="14"/>
        <v>4</v>
      </c>
      <c r="H208">
        <f t="shared" si="15"/>
        <v>1</v>
      </c>
    </row>
    <row r="209" spans="1:8">
      <c r="A209" s="4">
        <v>44951</v>
      </c>
      <c r="B209">
        <v>88</v>
      </c>
      <c r="C209">
        <f>VLOOKUP(G209,WAU!A:C,3,)</f>
        <v>295</v>
      </c>
      <c r="D209">
        <f>VLOOKUP(H209,MAU!A:C,3,)</f>
        <v>536</v>
      </c>
      <c r="E209" s="3">
        <f t="shared" si="12"/>
        <v>0.29830508474576273</v>
      </c>
      <c r="F209" s="3">
        <f t="shared" si="13"/>
        <v>0.16417910447761194</v>
      </c>
      <c r="G209">
        <f t="shared" si="14"/>
        <v>4</v>
      </c>
      <c r="H209">
        <f t="shared" si="15"/>
        <v>1</v>
      </c>
    </row>
    <row r="210" spans="1:8">
      <c r="A210" s="4">
        <v>44952</v>
      </c>
      <c r="B210">
        <v>83</v>
      </c>
      <c r="C210">
        <f>VLOOKUP(G210,WAU!A:C,3,)</f>
        <v>295</v>
      </c>
      <c r="D210">
        <f>VLOOKUP(H210,MAU!A:C,3,)</f>
        <v>536</v>
      </c>
      <c r="E210" s="3">
        <f t="shared" si="12"/>
        <v>0.28135593220338984</v>
      </c>
      <c r="F210" s="3">
        <f t="shared" si="13"/>
        <v>0.15485074626865672</v>
      </c>
      <c r="G210">
        <f t="shared" si="14"/>
        <v>4</v>
      </c>
      <c r="H210">
        <f t="shared" si="15"/>
        <v>1</v>
      </c>
    </row>
    <row r="211" spans="1:8">
      <c r="A211" s="4">
        <v>44953</v>
      </c>
      <c r="B211">
        <v>92</v>
      </c>
      <c r="C211">
        <f>VLOOKUP(G211,WAU!A:C,3,)</f>
        <v>295</v>
      </c>
      <c r="D211">
        <f>VLOOKUP(H211,MAU!A:C,3,)</f>
        <v>536</v>
      </c>
      <c r="E211" s="3">
        <f t="shared" si="12"/>
        <v>0.31186440677966104</v>
      </c>
      <c r="F211" s="3">
        <f t="shared" si="13"/>
        <v>0.17164179104477612</v>
      </c>
      <c r="G211">
        <f t="shared" si="14"/>
        <v>4</v>
      </c>
      <c r="H211">
        <f t="shared" si="15"/>
        <v>1</v>
      </c>
    </row>
    <row r="212" spans="1:8">
      <c r="A212" s="4">
        <v>44954</v>
      </c>
      <c r="B212">
        <v>99</v>
      </c>
      <c r="C212">
        <f>VLOOKUP(G212,WAU!A:C,3,)</f>
        <v>295</v>
      </c>
      <c r="D212">
        <f>VLOOKUP(H212,MAU!A:C,3,)</f>
        <v>536</v>
      </c>
      <c r="E212" s="3">
        <f t="shared" si="12"/>
        <v>0.33559322033898303</v>
      </c>
      <c r="F212" s="3">
        <f t="shared" si="13"/>
        <v>0.18470149253731344</v>
      </c>
      <c r="G212">
        <f t="shared" si="14"/>
        <v>4</v>
      </c>
      <c r="H212">
        <f t="shared" si="15"/>
        <v>1</v>
      </c>
    </row>
    <row r="213" spans="1:8">
      <c r="A213" s="4">
        <v>44955</v>
      </c>
      <c r="B213">
        <v>93</v>
      </c>
      <c r="C213">
        <f>VLOOKUP(G213,WAU!A:C,3,)</f>
        <v>295</v>
      </c>
      <c r="D213">
        <f>VLOOKUP(H213,MAU!A:C,3,)</f>
        <v>536</v>
      </c>
      <c r="E213" s="3">
        <f t="shared" si="12"/>
        <v>0.31525423728813562</v>
      </c>
      <c r="F213" s="3">
        <f t="shared" si="13"/>
        <v>0.17350746268656717</v>
      </c>
      <c r="G213">
        <f t="shared" si="14"/>
        <v>4</v>
      </c>
      <c r="H213">
        <f t="shared" si="15"/>
        <v>1</v>
      </c>
    </row>
    <row r="214" spans="1:8">
      <c r="A214" s="4">
        <v>44956</v>
      </c>
      <c r="B214">
        <v>115</v>
      </c>
      <c r="C214">
        <f>VLOOKUP(G214,WAU!A:C,3,)</f>
        <v>346</v>
      </c>
      <c r="D214">
        <f>VLOOKUP(H214,MAU!A:C,3,)</f>
        <v>536</v>
      </c>
      <c r="E214" s="3">
        <f t="shared" si="12"/>
        <v>0.33236994219653176</v>
      </c>
      <c r="F214" s="3">
        <f t="shared" si="13"/>
        <v>0.21455223880597016</v>
      </c>
      <c r="G214">
        <f t="shared" si="14"/>
        <v>5</v>
      </c>
      <c r="H214">
        <f t="shared" si="15"/>
        <v>1</v>
      </c>
    </row>
    <row r="215" spans="1:8">
      <c r="A215" s="4">
        <v>44957</v>
      </c>
      <c r="B215">
        <v>108</v>
      </c>
      <c r="C215">
        <f>VLOOKUP(G215,WAU!A:C,3,)</f>
        <v>346</v>
      </c>
      <c r="D215">
        <f>VLOOKUP(H215,MAU!A:C,3,)</f>
        <v>536</v>
      </c>
      <c r="E215" s="3">
        <f t="shared" si="12"/>
        <v>0.31213872832369943</v>
      </c>
      <c r="F215" s="3">
        <f t="shared" si="13"/>
        <v>0.20149253731343283</v>
      </c>
      <c r="G215">
        <f t="shared" si="14"/>
        <v>5</v>
      </c>
      <c r="H215">
        <f t="shared" si="15"/>
        <v>1</v>
      </c>
    </row>
    <row r="216" spans="1:8">
      <c r="A216" s="4">
        <v>44958</v>
      </c>
      <c r="B216">
        <v>112</v>
      </c>
      <c r="C216">
        <f>VLOOKUP(G216,WAU!A:C,3,)</f>
        <v>346</v>
      </c>
      <c r="D216">
        <f>VLOOKUP(H216,MAU!A:C,3,)</f>
        <v>696</v>
      </c>
      <c r="E216" s="3">
        <f t="shared" si="12"/>
        <v>0.32369942196531792</v>
      </c>
      <c r="F216" s="3">
        <f t="shared" si="13"/>
        <v>0.16091954022988506</v>
      </c>
      <c r="G216">
        <f t="shared" si="14"/>
        <v>5</v>
      </c>
      <c r="H216">
        <f t="shared" si="15"/>
        <v>2</v>
      </c>
    </row>
    <row r="217" spans="1:8">
      <c r="A217" s="4">
        <v>44959</v>
      </c>
      <c r="B217">
        <v>86</v>
      </c>
      <c r="C217">
        <f>VLOOKUP(G217,WAU!A:C,3,)</f>
        <v>346</v>
      </c>
      <c r="D217">
        <f>VLOOKUP(H217,MAU!A:C,3,)</f>
        <v>696</v>
      </c>
      <c r="E217" s="3">
        <f t="shared" si="12"/>
        <v>0.24855491329479767</v>
      </c>
      <c r="F217" s="3">
        <f t="shared" si="13"/>
        <v>0.1235632183908046</v>
      </c>
      <c r="G217">
        <f t="shared" si="14"/>
        <v>5</v>
      </c>
      <c r="H217">
        <f t="shared" si="15"/>
        <v>2</v>
      </c>
    </row>
    <row r="218" spans="1:8">
      <c r="A218" s="4">
        <v>44960</v>
      </c>
      <c r="B218">
        <v>98</v>
      </c>
      <c r="C218">
        <f>VLOOKUP(G218,WAU!A:C,3,)</f>
        <v>346</v>
      </c>
      <c r="D218">
        <f>VLOOKUP(H218,MAU!A:C,3,)</f>
        <v>696</v>
      </c>
      <c r="E218" s="3">
        <f t="shared" si="12"/>
        <v>0.2832369942196532</v>
      </c>
      <c r="F218" s="3">
        <f t="shared" si="13"/>
        <v>0.14080459770114942</v>
      </c>
      <c r="G218">
        <f t="shared" si="14"/>
        <v>5</v>
      </c>
      <c r="H218">
        <f t="shared" si="15"/>
        <v>2</v>
      </c>
    </row>
    <row r="219" spans="1:8">
      <c r="A219" s="4">
        <v>44961</v>
      </c>
      <c r="B219">
        <v>100</v>
      </c>
      <c r="C219">
        <f>VLOOKUP(G219,WAU!A:C,3,)</f>
        <v>346</v>
      </c>
      <c r="D219">
        <f>VLOOKUP(H219,MAU!A:C,3,)</f>
        <v>696</v>
      </c>
      <c r="E219" s="3">
        <f t="shared" si="12"/>
        <v>0.28901734104046245</v>
      </c>
      <c r="F219" s="3">
        <f t="shared" si="13"/>
        <v>0.14367816091954022</v>
      </c>
      <c r="G219">
        <f t="shared" si="14"/>
        <v>5</v>
      </c>
      <c r="H219">
        <f t="shared" si="15"/>
        <v>2</v>
      </c>
    </row>
    <row r="220" spans="1:8">
      <c r="A220" s="4">
        <v>44962</v>
      </c>
      <c r="B220">
        <v>95</v>
      </c>
      <c r="C220">
        <f>VLOOKUP(G220,WAU!A:C,3,)</f>
        <v>346</v>
      </c>
      <c r="D220">
        <f>VLOOKUP(H220,MAU!A:C,3,)</f>
        <v>696</v>
      </c>
      <c r="E220" s="3">
        <f t="shared" si="12"/>
        <v>0.27456647398843931</v>
      </c>
      <c r="F220" s="3">
        <f t="shared" si="13"/>
        <v>0.13649425287356323</v>
      </c>
      <c r="G220">
        <f t="shared" si="14"/>
        <v>5</v>
      </c>
      <c r="H220">
        <f t="shared" si="15"/>
        <v>2</v>
      </c>
    </row>
    <row r="221" spans="1:8">
      <c r="A221" s="4">
        <v>44963</v>
      </c>
      <c r="B221">
        <v>98</v>
      </c>
      <c r="C221">
        <f>VLOOKUP(G221,WAU!A:C,3,)</f>
        <v>340</v>
      </c>
      <c r="D221">
        <f>VLOOKUP(H221,MAU!A:C,3,)</f>
        <v>696</v>
      </c>
      <c r="E221" s="3">
        <f t="shared" si="12"/>
        <v>0.28823529411764703</v>
      </c>
      <c r="F221" s="3">
        <f t="shared" si="13"/>
        <v>0.14080459770114942</v>
      </c>
      <c r="G221">
        <f t="shared" si="14"/>
        <v>6</v>
      </c>
      <c r="H221">
        <f t="shared" si="15"/>
        <v>2</v>
      </c>
    </row>
    <row r="222" spans="1:8">
      <c r="A222" s="4">
        <v>44964</v>
      </c>
      <c r="B222">
        <v>90</v>
      </c>
      <c r="C222">
        <f>VLOOKUP(G222,WAU!A:C,3,)</f>
        <v>340</v>
      </c>
      <c r="D222">
        <f>VLOOKUP(H222,MAU!A:C,3,)</f>
        <v>696</v>
      </c>
      <c r="E222" s="3">
        <f t="shared" si="12"/>
        <v>0.26470588235294118</v>
      </c>
      <c r="F222" s="3">
        <f t="shared" si="13"/>
        <v>0.12931034482758622</v>
      </c>
      <c r="G222">
        <f t="shared" si="14"/>
        <v>6</v>
      </c>
      <c r="H222">
        <f t="shared" si="15"/>
        <v>2</v>
      </c>
    </row>
    <row r="223" spans="1:8">
      <c r="A223" s="4">
        <v>44965</v>
      </c>
      <c r="B223">
        <v>107</v>
      </c>
      <c r="C223">
        <f>VLOOKUP(G223,WAU!A:C,3,)</f>
        <v>340</v>
      </c>
      <c r="D223">
        <f>VLOOKUP(H223,MAU!A:C,3,)</f>
        <v>696</v>
      </c>
      <c r="E223" s="3">
        <f t="shared" si="12"/>
        <v>0.31470588235294117</v>
      </c>
      <c r="F223" s="3">
        <f t="shared" si="13"/>
        <v>0.15373563218390804</v>
      </c>
      <c r="G223">
        <f t="shared" si="14"/>
        <v>6</v>
      </c>
      <c r="H223">
        <f t="shared" si="15"/>
        <v>2</v>
      </c>
    </row>
    <row r="224" spans="1:8">
      <c r="A224" s="4">
        <v>44966</v>
      </c>
      <c r="B224">
        <v>101</v>
      </c>
      <c r="C224">
        <f>VLOOKUP(G224,WAU!A:C,3,)</f>
        <v>340</v>
      </c>
      <c r="D224">
        <f>VLOOKUP(H224,MAU!A:C,3,)</f>
        <v>696</v>
      </c>
      <c r="E224" s="3">
        <f t="shared" si="12"/>
        <v>0.29705882352941176</v>
      </c>
      <c r="F224" s="3">
        <f t="shared" si="13"/>
        <v>0.14511494252873564</v>
      </c>
      <c r="G224">
        <f t="shared" si="14"/>
        <v>6</v>
      </c>
      <c r="H224">
        <f t="shared" si="15"/>
        <v>2</v>
      </c>
    </row>
    <row r="225" spans="1:8">
      <c r="A225" s="4">
        <v>44967</v>
      </c>
      <c r="B225">
        <v>104</v>
      </c>
      <c r="C225">
        <f>VLOOKUP(G225,WAU!A:C,3,)</f>
        <v>340</v>
      </c>
      <c r="D225">
        <f>VLOOKUP(H225,MAU!A:C,3,)</f>
        <v>696</v>
      </c>
      <c r="E225" s="3">
        <f t="shared" si="12"/>
        <v>0.30588235294117649</v>
      </c>
      <c r="F225" s="3">
        <f t="shared" si="13"/>
        <v>0.14942528735632185</v>
      </c>
      <c r="G225">
        <f t="shared" si="14"/>
        <v>6</v>
      </c>
      <c r="H225">
        <f t="shared" si="15"/>
        <v>2</v>
      </c>
    </row>
    <row r="226" spans="1:8">
      <c r="A226" s="4">
        <v>44968</v>
      </c>
      <c r="B226">
        <v>98</v>
      </c>
      <c r="C226">
        <f>VLOOKUP(G226,WAU!A:C,3,)</f>
        <v>340</v>
      </c>
      <c r="D226">
        <f>VLOOKUP(H226,MAU!A:C,3,)</f>
        <v>696</v>
      </c>
      <c r="E226" s="3">
        <f t="shared" si="12"/>
        <v>0.28823529411764703</v>
      </c>
      <c r="F226" s="3">
        <f t="shared" si="13"/>
        <v>0.14080459770114942</v>
      </c>
      <c r="G226">
        <f t="shared" si="14"/>
        <v>6</v>
      </c>
      <c r="H226">
        <f t="shared" si="15"/>
        <v>2</v>
      </c>
    </row>
    <row r="227" spans="1:8">
      <c r="A227" s="4">
        <v>44969</v>
      </c>
      <c r="B227">
        <v>101</v>
      </c>
      <c r="C227">
        <f>VLOOKUP(G227,WAU!A:C,3,)</f>
        <v>340</v>
      </c>
      <c r="D227">
        <f>VLOOKUP(H227,MAU!A:C,3,)</f>
        <v>696</v>
      </c>
      <c r="E227" s="3">
        <f t="shared" si="12"/>
        <v>0.29705882352941176</v>
      </c>
      <c r="F227" s="3">
        <f t="shared" si="13"/>
        <v>0.14511494252873564</v>
      </c>
      <c r="G227">
        <f t="shared" si="14"/>
        <v>6</v>
      </c>
      <c r="H227">
        <f t="shared" si="15"/>
        <v>2</v>
      </c>
    </row>
    <row r="228" spans="1:8">
      <c r="A228" s="4">
        <v>44970</v>
      </c>
      <c r="B228">
        <v>94</v>
      </c>
      <c r="C228">
        <f>VLOOKUP(G228,WAU!A:C,3,)</f>
        <v>347</v>
      </c>
      <c r="D228">
        <f>VLOOKUP(H228,MAU!A:C,3,)</f>
        <v>696</v>
      </c>
      <c r="E228" s="3">
        <f t="shared" si="12"/>
        <v>0.27089337175792505</v>
      </c>
      <c r="F228" s="3">
        <f t="shared" si="13"/>
        <v>0.13505747126436782</v>
      </c>
      <c r="G228">
        <f t="shared" si="14"/>
        <v>7</v>
      </c>
      <c r="H228">
        <f t="shared" si="15"/>
        <v>2</v>
      </c>
    </row>
    <row r="229" spans="1:8">
      <c r="A229" s="4">
        <v>44971</v>
      </c>
      <c r="B229">
        <v>108</v>
      </c>
      <c r="C229">
        <f>VLOOKUP(G229,WAU!A:C,3,)</f>
        <v>347</v>
      </c>
      <c r="D229">
        <f>VLOOKUP(H229,MAU!A:C,3,)</f>
        <v>696</v>
      </c>
      <c r="E229" s="3">
        <f t="shared" si="12"/>
        <v>0.31123919308357351</v>
      </c>
      <c r="F229" s="3">
        <f t="shared" si="13"/>
        <v>0.15517241379310345</v>
      </c>
      <c r="G229">
        <f t="shared" si="14"/>
        <v>7</v>
      </c>
      <c r="H229">
        <f t="shared" si="15"/>
        <v>2</v>
      </c>
    </row>
    <row r="230" spans="1:8">
      <c r="A230" s="4">
        <v>44972</v>
      </c>
      <c r="B230">
        <v>103</v>
      </c>
      <c r="C230">
        <f>VLOOKUP(G230,WAU!A:C,3,)</f>
        <v>347</v>
      </c>
      <c r="D230">
        <f>VLOOKUP(H230,MAU!A:C,3,)</f>
        <v>696</v>
      </c>
      <c r="E230" s="3">
        <f t="shared" si="12"/>
        <v>0.29682997118155618</v>
      </c>
      <c r="F230" s="3">
        <f t="shared" si="13"/>
        <v>0.14798850574712644</v>
      </c>
      <c r="G230">
        <f t="shared" si="14"/>
        <v>7</v>
      </c>
      <c r="H230">
        <f t="shared" si="15"/>
        <v>2</v>
      </c>
    </row>
    <row r="231" spans="1:8">
      <c r="A231" s="4">
        <v>44973</v>
      </c>
      <c r="B231">
        <v>95</v>
      </c>
      <c r="C231">
        <f>VLOOKUP(G231,WAU!A:C,3,)</f>
        <v>347</v>
      </c>
      <c r="D231">
        <f>VLOOKUP(H231,MAU!A:C,3,)</f>
        <v>696</v>
      </c>
      <c r="E231" s="3">
        <f t="shared" si="12"/>
        <v>0.2737752161383285</v>
      </c>
      <c r="F231" s="3">
        <f t="shared" si="13"/>
        <v>0.13649425287356323</v>
      </c>
      <c r="G231">
        <f t="shared" si="14"/>
        <v>7</v>
      </c>
      <c r="H231">
        <f t="shared" si="15"/>
        <v>2</v>
      </c>
    </row>
    <row r="232" spans="1:8">
      <c r="A232" s="4">
        <v>44974</v>
      </c>
      <c r="B232">
        <v>107</v>
      </c>
      <c r="C232">
        <f>VLOOKUP(G232,WAU!A:C,3,)</f>
        <v>347</v>
      </c>
      <c r="D232">
        <f>VLOOKUP(H232,MAU!A:C,3,)</f>
        <v>696</v>
      </c>
      <c r="E232" s="3">
        <f t="shared" si="12"/>
        <v>0.30835734870317005</v>
      </c>
      <c r="F232" s="3">
        <f t="shared" si="13"/>
        <v>0.15373563218390804</v>
      </c>
      <c r="G232">
        <f t="shared" si="14"/>
        <v>7</v>
      </c>
      <c r="H232">
        <f t="shared" si="15"/>
        <v>2</v>
      </c>
    </row>
    <row r="233" spans="1:8">
      <c r="A233" s="4">
        <v>44975</v>
      </c>
      <c r="B233">
        <v>116</v>
      </c>
      <c r="C233">
        <f>VLOOKUP(G233,WAU!A:C,3,)</f>
        <v>347</v>
      </c>
      <c r="D233">
        <f>VLOOKUP(H233,MAU!A:C,3,)</f>
        <v>696</v>
      </c>
      <c r="E233" s="3">
        <f t="shared" si="12"/>
        <v>0.33429394812680113</v>
      </c>
      <c r="F233" s="3">
        <f t="shared" si="13"/>
        <v>0.16666666666666666</v>
      </c>
      <c r="G233">
        <f t="shared" si="14"/>
        <v>7</v>
      </c>
      <c r="H233">
        <f t="shared" si="15"/>
        <v>2</v>
      </c>
    </row>
    <row r="234" spans="1:8">
      <c r="A234" s="4">
        <v>44976</v>
      </c>
      <c r="B234">
        <v>109</v>
      </c>
      <c r="C234">
        <f>VLOOKUP(G234,WAU!A:C,3,)</f>
        <v>347</v>
      </c>
      <c r="D234">
        <f>VLOOKUP(H234,MAU!A:C,3,)</f>
        <v>696</v>
      </c>
      <c r="E234" s="3">
        <f t="shared" si="12"/>
        <v>0.31412103746397696</v>
      </c>
      <c r="F234" s="3">
        <f t="shared" si="13"/>
        <v>0.15660919540229884</v>
      </c>
      <c r="G234">
        <f t="shared" si="14"/>
        <v>7</v>
      </c>
      <c r="H234">
        <f t="shared" si="15"/>
        <v>2</v>
      </c>
    </row>
    <row r="235" spans="1:8">
      <c r="A235" s="4">
        <v>44977</v>
      </c>
      <c r="B235">
        <v>84</v>
      </c>
      <c r="C235">
        <f>VLOOKUP(G235,WAU!A:C,3,)</f>
        <v>384</v>
      </c>
      <c r="D235">
        <f>VLOOKUP(H235,MAU!A:C,3,)</f>
        <v>696</v>
      </c>
      <c r="E235" s="3">
        <f t="shared" si="12"/>
        <v>0.21875</v>
      </c>
      <c r="F235" s="3">
        <f t="shared" si="13"/>
        <v>0.1206896551724138</v>
      </c>
      <c r="G235">
        <f t="shared" si="14"/>
        <v>8</v>
      </c>
      <c r="H235">
        <f t="shared" si="15"/>
        <v>2</v>
      </c>
    </row>
    <row r="236" spans="1:8">
      <c r="A236" s="4">
        <v>44978</v>
      </c>
      <c r="B236">
        <v>98</v>
      </c>
      <c r="C236">
        <f>VLOOKUP(G236,WAU!A:C,3,)</f>
        <v>384</v>
      </c>
      <c r="D236">
        <f>VLOOKUP(H236,MAU!A:C,3,)</f>
        <v>696</v>
      </c>
      <c r="E236" s="3">
        <f t="shared" si="12"/>
        <v>0.25520833333333331</v>
      </c>
      <c r="F236" s="3">
        <f t="shared" si="13"/>
        <v>0.14080459770114942</v>
      </c>
      <c r="G236">
        <f t="shared" si="14"/>
        <v>8</v>
      </c>
      <c r="H236">
        <f t="shared" si="15"/>
        <v>2</v>
      </c>
    </row>
    <row r="237" spans="1:8">
      <c r="A237" s="4">
        <v>44979</v>
      </c>
      <c r="B237">
        <v>115</v>
      </c>
      <c r="C237">
        <f>VLOOKUP(G237,WAU!A:C,3,)</f>
        <v>384</v>
      </c>
      <c r="D237">
        <f>VLOOKUP(H237,MAU!A:C,3,)</f>
        <v>696</v>
      </c>
      <c r="E237" s="3">
        <f t="shared" si="12"/>
        <v>0.29947916666666669</v>
      </c>
      <c r="F237" s="3">
        <f t="shared" si="13"/>
        <v>0.16522988505747127</v>
      </c>
      <c r="G237">
        <f t="shared" si="14"/>
        <v>8</v>
      </c>
      <c r="H237">
        <f t="shared" si="15"/>
        <v>2</v>
      </c>
    </row>
    <row r="238" spans="1:8">
      <c r="A238" s="4">
        <v>44980</v>
      </c>
      <c r="B238">
        <v>95</v>
      </c>
      <c r="C238">
        <f>VLOOKUP(G238,WAU!A:C,3,)</f>
        <v>384</v>
      </c>
      <c r="D238">
        <f>VLOOKUP(H238,MAU!A:C,3,)</f>
        <v>696</v>
      </c>
      <c r="E238" s="3">
        <f t="shared" si="12"/>
        <v>0.24739583333333334</v>
      </c>
      <c r="F238" s="3">
        <f t="shared" si="13"/>
        <v>0.13649425287356323</v>
      </c>
      <c r="G238">
        <f t="shared" si="14"/>
        <v>8</v>
      </c>
      <c r="H238">
        <f t="shared" si="15"/>
        <v>2</v>
      </c>
    </row>
    <row r="239" spans="1:8">
      <c r="A239" s="4">
        <v>44981</v>
      </c>
      <c r="B239">
        <v>106</v>
      </c>
      <c r="C239">
        <f>VLOOKUP(G239,WAU!A:C,3,)</f>
        <v>384</v>
      </c>
      <c r="D239">
        <f>VLOOKUP(H239,MAU!A:C,3,)</f>
        <v>696</v>
      </c>
      <c r="E239" s="3">
        <f t="shared" si="12"/>
        <v>0.27604166666666669</v>
      </c>
      <c r="F239" s="3">
        <f t="shared" si="13"/>
        <v>0.15229885057471265</v>
      </c>
      <c r="G239">
        <f t="shared" si="14"/>
        <v>8</v>
      </c>
      <c r="H239">
        <f t="shared" si="15"/>
        <v>2</v>
      </c>
    </row>
    <row r="240" spans="1:8">
      <c r="A240" s="4">
        <v>44982</v>
      </c>
      <c r="B240">
        <v>118</v>
      </c>
      <c r="C240">
        <f>VLOOKUP(G240,WAU!A:C,3,)</f>
        <v>384</v>
      </c>
      <c r="D240">
        <f>VLOOKUP(H240,MAU!A:C,3,)</f>
        <v>696</v>
      </c>
      <c r="E240" s="3">
        <f t="shared" si="12"/>
        <v>0.30729166666666669</v>
      </c>
      <c r="F240" s="3">
        <f t="shared" si="13"/>
        <v>0.16954022988505746</v>
      </c>
      <c r="G240">
        <f t="shared" si="14"/>
        <v>8</v>
      </c>
      <c r="H240">
        <f t="shared" si="15"/>
        <v>2</v>
      </c>
    </row>
    <row r="241" spans="1:8">
      <c r="A241" s="4">
        <v>44983</v>
      </c>
      <c r="B241">
        <v>127</v>
      </c>
      <c r="C241">
        <f>VLOOKUP(G241,WAU!A:C,3,)</f>
        <v>384</v>
      </c>
      <c r="D241">
        <f>VLOOKUP(H241,MAU!A:C,3,)</f>
        <v>696</v>
      </c>
      <c r="E241" s="3">
        <f t="shared" si="12"/>
        <v>0.33072916666666669</v>
      </c>
      <c r="F241" s="3">
        <f t="shared" si="13"/>
        <v>0.18247126436781611</v>
      </c>
      <c r="G241">
        <f t="shared" si="14"/>
        <v>8</v>
      </c>
      <c r="H241">
        <f t="shared" si="15"/>
        <v>2</v>
      </c>
    </row>
    <row r="242" spans="1:8">
      <c r="A242" s="4">
        <v>44984</v>
      </c>
      <c r="B242">
        <v>104</v>
      </c>
      <c r="C242">
        <f>VLOOKUP(G242,WAU!A:C,3,)</f>
        <v>611</v>
      </c>
      <c r="D242">
        <f>VLOOKUP(H242,MAU!A:C,3,)</f>
        <v>696</v>
      </c>
      <c r="E242" s="3">
        <f t="shared" si="12"/>
        <v>0.1702127659574468</v>
      </c>
      <c r="F242" s="3">
        <f t="shared" si="13"/>
        <v>0.14942528735632185</v>
      </c>
      <c r="G242">
        <f t="shared" si="14"/>
        <v>9</v>
      </c>
      <c r="H242">
        <f t="shared" si="15"/>
        <v>2</v>
      </c>
    </row>
    <row r="243" spans="1:8">
      <c r="A243" s="4">
        <v>44985</v>
      </c>
      <c r="B243">
        <v>131</v>
      </c>
      <c r="C243">
        <f>VLOOKUP(G243,WAU!A:C,3,)</f>
        <v>611</v>
      </c>
      <c r="D243">
        <f>VLOOKUP(H243,MAU!A:C,3,)</f>
        <v>696</v>
      </c>
      <c r="E243" s="3">
        <f t="shared" si="12"/>
        <v>0.2144026186579378</v>
      </c>
      <c r="F243" s="3">
        <f t="shared" si="13"/>
        <v>0.18821839080459771</v>
      </c>
      <c r="G243">
        <f t="shared" si="14"/>
        <v>9</v>
      </c>
      <c r="H243">
        <f t="shared" si="15"/>
        <v>2</v>
      </c>
    </row>
    <row r="244" spans="1:8">
      <c r="A244" s="8">
        <v>44986</v>
      </c>
      <c r="B244">
        <v>130</v>
      </c>
      <c r="C244">
        <f>VLOOKUP(G244,WAU!A:C,3,)</f>
        <v>611</v>
      </c>
      <c r="D244">
        <f>VLOOKUP(H244,MAU!A:C,3,)</f>
        <v>1544</v>
      </c>
      <c r="E244" s="3">
        <f t="shared" si="12"/>
        <v>0.21276595744680851</v>
      </c>
      <c r="F244" s="3">
        <f t="shared" si="13"/>
        <v>8.4196891191709838E-2</v>
      </c>
      <c r="G244">
        <f t="shared" si="14"/>
        <v>9</v>
      </c>
      <c r="H244">
        <f t="shared" si="15"/>
        <v>3</v>
      </c>
    </row>
    <row r="245" spans="1:8">
      <c r="A245" s="8">
        <v>44987</v>
      </c>
      <c r="B245">
        <v>138</v>
      </c>
      <c r="C245">
        <f>VLOOKUP(G245,WAU!A:C,3,)</f>
        <v>611</v>
      </c>
      <c r="D245">
        <f>VLOOKUP(H245,MAU!A:C,3,)</f>
        <v>1544</v>
      </c>
      <c r="E245" s="3">
        <f t="shared" si="12"/>
        <v>0.22585924713584288</v>
      </c>
      <c r="F245" s="3">
        <f t="shared" si="13"/>
        <v>8.937823834196891E-2</v>
      </c>
      <c r="G245">
        <f t="shared" si="14"/>
        <v>9</v>
      </c>
      <c r="H245">
        <f t="shared" si="15"/>
        <v>3</v>
      </c>
    </row>
    <row r="246" spans="1:8">
      <c r="A246" s="8">
        <v>44988</v>
      </c>
      <c r="B246">
        <v>167</v>
      </c>
      <c r="C246">
        <f>VLOOKUP(G246,WAU!A:C,3,)</f>
        <v>611</v>
      </c>
      <c r="D246">
        <f>VLOOKUP(H246,MAU!A:C,3,)</f>
        <v>1544</v>
      </c>
      <c r="E246" s="3">
        <f t="shared" si="12"/>
        <v>0.27332242225859249</v>
      </c>
      <c r="F246" s="3">
        <f t="shared" si="13"/>
        <v>0.10816062176165803</v>
      </c>
      <c r="G246">
        <f t="shared" si="14"/>
        <v>9</v>
      </c>
      <c r="H246">
        <f t="shared" si="15"/>
        <v>3</v>
      </c>
    </row>
    <row r="247" spans="1:8">
      <c r="A247" s="8">
        <v>44989</v>
      </c>
      <c r="B247">
        <v>170</v>
      </c>
      <c r="C247">
        <f>VLOOKUP(G247,WAU!A:C,3,)</f>
        <v>611</v>
      </c>
      <c r="D247">
        <f>VLOOKUP(H247,MAU!A:C,3,)</f>
        <v>1544</v>
      </c>
      <c r="E247" s="3">
        <f t="shared" si="12"/>
        <v>0.27823240589198034</v>
      </c>
      <c r="F247" s="3">
        <f t="shared" si="13"/>
        <v>0.11010362694300518</v>
      </c>
      <c r="G247">
        <f t="shared" si="14"/>
        <v>9</v>
      </c>
      <c r="H247">
        <f t="shared" si="15"/>
        <v>3</v>
      </c>
    </row>
    <row r="248" spans="1:8">
      <c r="A248" s="8">
        <v>44990</v>
      </c>
      <c r="B248">
        <v>165</v>
      </c>
      <c r="C248">
        <f>VLOOKUP(G248,WAU!A:C,3,)</f>
        <v>611</v>
      </c>
      <c r="D248">
        <f>VLOOKUP(H248,MAU!A:C,3,)</f>
        <v>1544</v>
      </c>
      <c r="E248" s="3">
        <f t="shared" si="12"/>
        <v>0.27004909983633391</v>
      </c>
      <c r="F248" s="3">
        <f t="shared" si="13"/>
        <v>0.10686528497409327</v>
      </c>
      <c r="G248">
        <f t="shared" si="14"/>
        <v>9</v>
      </c>
      <c r="H248">
        <f t="shared" si="15"/>
        <v>3</v>
      </c>
    </row>
    <row r="249" spans="1:8">
      <c r="A249" s="8">
        <v>44991</v>
      </c>
      <c r="B249">
        <v>149</v>
      </c>
      <c r="C249">
        <f>VLOOKUP(G249,WAU!A:C,3,)</f>
        <v>712</v>
      </c>
      <c r="D249">
        <f>VLOOKUP(H249,MAU!A:C,3,)</f>
        <v>1544</v>
      </c>
      <c r="E249" s="3">
        <f t="shared" si="12"/>
        <v>0.20926966292134833</v>
      </c>
      <c r="F249" s="3">
        <f t="shared" si="13"/>
        <v>9.6502590673575125E-2</v>
      </c>
      <c r="G249">
        <f t="shared" si="14"/>
        <v>10</v>
      </c>
      <c r="H249">
        <f t="shared" si="15"/>
        <v>3</v>
      </c>
    </row>
    <row r="250" spans="1:8">
      <c r="A250" s="8">
        <v>44992</v>
      </c>
      <c r="B250">
        <v>151</v>
      </c>
      <c r="C250">
        <f>VLOOKUP(G250,WAU!A:C,3,)</f>
        <v>712</v>
      </c>
      <c r="D250">
        <f>VLOOKUP(H250,MAU!A:C,3,)</f>
        <v>1544</v>
      </c>
      <c r="E250" s="3">
        <f t="shared" si="12"/>
        <v>0.21207865168539325</v>
      </c>
      <c r="F250" s="3">
        <f t="shared" si="13"/>
        <v>9.7797927461139897E-2</v>
      </c>
      <c r="G250">
        <f t="shared" si="14"/>
        <v>10</v>
      </c>
      <c r="H250">
        <f t="shared" si="15"/>
        <v>3</v>
      </c>
    </row>
    <row r="251" spans="1:8">
      <c r="A251" s="8">
        <v>44993</v>
      </c>
      <c r="B251">
        <v>173</v>
      </c>
      <c r="C251">
        <f>VLOOKUP(G251,WAU!A:C,3,)</f>
        <v>712</v>
      </c>
      <c r="D251">
        <f>VLOOKUP(H251,MAU!A:C,3,)</f>
        <v>1544</v>
      </c>
      <c r="E251" s="3">
        <f t="shared" si="12"/>
        <v>0.24297752808988765</v>
      </c>
      <c r="F251" s="3">
        <f t="shared" si="13"/>
        <v>0.11204663212435233</v>
      </c>
      <c r="G251">
        <f t="shared" si="14"/>
        <v>10</v>
      </c>
      <c r="H251">
        <f t="shared" si="15"/>
        <v>3</v>
      </c>
    </row>
    <row r="252" spans="1:8">
      <c r="A252" s="8">
        <v>44994</v>
      </c>
      <c r="B252">
        <v>150</v>
      </c>
      <c r="C252">
        <f>VLOOKUP(G252,WAU!A:C,3,)</f>
        <v>712</v>
      </c>
      <c r="D252">
        <f>VLOOKUP(H252,MAU!A:C,3,)</f>
        <v>1544</v>
      </c>
      <c r="E252" s="3">
        <f t="shared" si="12"/>
        <v>0.21067415730337077</v>
      </c>
      <c r="F252" s="3">
        <f t="shared" si="13"/>
        <v>9.7150259067357511E-2</v>
      </c>
      <c r="G252">
        <f t="shared" si="14"/>
        <v>10</v>
      </c>
      <c r="H252">
        <f t="shared" si="15"/>
        <v>3</v>
      </c>
    </row>
    <row r="253" spans="1:8">
      <c r="A253" s="8">
        <v>44995</v>
      </c>
      <c r="B253">
        <v>162</v>
      </c>
      <c r="C253">
        <f>VLOOKUP(G253,WAU!A:C,3,)</f>
        <v>712</v>
      </c>
      <c r="D253">
        <f>VLOOKUP(H253,MAU!A:C,3,)</f>
        <v>1544</v>
      </c>
      <c r="E253" s="3">
        <f t="shared" si="12"/>
        <v>0.22752808988764045</v>
      </c>
      <c r="F253" s="3">
        <f t="shared" si="13"/>
        <v>0.10492227979274611</v>
      </c>
      <c r="G253">
        <f t="shared" si="14"/>
        <v>10</v>
      </c>
      <c r="H253">
        <f t="shared" si="15"/>
        <v>3</v>
      </c>
    </row>
    <row r="254" spans="1:8">
      <c r="A254" s="8">
        <v>44996</v>
      </c>
      <c r="B254">
        <v>175</v>
      </c>
      <c r="C254">
        <f>VLOOKUP(G254,WAU!A:C,3,)</f>
        <v>712</v>
      </c>
      <c r="D254">
        <f>VLOOKUP(H254,MAU!A:C,3,)</f>
        <v>1544</v>
      </c>
      <c r="E254" s="3">
        <f t="shared" si="12"/>
        <v>0.24578651685393257</v>
      </c>
      <c r="F254" s="3">
        <f t="shared" si="13"/>
        <v>0.1133419689119171</v>
      </c>
      <c r="G254">
        <f t="shared" si="14"/>
        <v>10</v>
      </c>
      <c r="H254">
        <f t="shared" si="15"/>
        <v>3</v>
      </c>
    </row>
    <row r="255" spans="1:8">
      <c r="A255" s="8">
        <v>44997</v>
      </c>
      <c r="B255">
        <v>176</v>
      </c>
      <c r="C255">
        <f>VLOOKUP(G255,WAU!A:C,3,)</f>
        <v>712</v>
      </c>
      <c r="D255">
        <f>VLOOKUP(H255,MAU!A:C,3,)</f>
        <v>1544</v>
      </c>
      <c r="E255" s="3">
        <f t="shared" si="12"/>
        <v>0.24719101123595505</v>
      </c>
      <c r="F255" s="3">
        <f t="shared" si="13"/>
        <v>0.11398963730569948</v>
      </c>
      <c r="G255">
        <f t="shared" si="14"/>
        <v>10</v>
      </c>
      <c r="H255">
        <f t="shared" si="15"/>
        <v>3</v>
      </c>
    </row>
    <row r="256" spans="1:8">
      <c r="A256" s="8">
        <v>44998</v>
      </c>
      <c r="B256">
        <v>180</v>
      </c>
      <c r="C256">
        <f>VLOOKUP(G256,WAU!A:C,3,)</f>
        <v>772</v>
      </c>
      <c r="D256">
        <f>VLOOKUP(H256,MAU!A:C,3,)</f>
        <v>1544</v>
      </c>
      <c r="E256" s="3">
        <f t="shared" si="12"/>
        <v>0.23316062176165803</v>
      </c>
      <c r="F256" s="3">
        <f t="shared" si="13"/>
        <v>0.11658031088082901</v>
      </c>
      <c r="G256">
        <f t="shared" si="14"/>
        <v>11</v>
      </c>
      <c r="H256">
        <f t="shared" si="15"/>
        <v>3</v>
      </c>
    </row>
    <row r="257" spans="1:8">
      <c r="A257" s="8">
        <v>44999</v>
      </c>
      <c r="B257">
        <v>168</v>
      </c>
      <c r="C257">
        <f>VLOOKUP(G257,WAU!A:C,3,)</f>
        <v>772</v>
      </c>
      <c r="D257">
        <f>VLOOKUP(H257,MAU!A:C,3,)</f>
        <v>1544</v>
      </c>
      <c r="E257" s="3">
        <f t="shared" si="12"/>
        <v>0.21761658031088082</v>
      </c>
      <c r="F257" s="3">
        <f t="shared" si="13"/>
        <v>0.10880829015544041</v>
      </c>
      <c r="G257">
        <f t="shared" si="14"/>
        <v>11</v>
      </c>
      <c r="H257">
        <f t="shared" si="15"/>
        <v>3</v>
      </c>
    </row>
    <row r="258" spans="1:8">
      <c r="A258" s="8">
        <v>45000</v>
      </c>
      <c r="B258">
        <v>185</v>
      </c>
      <c r="C258">
        <f>VLOOKUP(G258,WAU!A:C,3,)</f>
        <v>772</v>
      </c>
      <c r="D258">
        <f>VLOOKUP(H258,MAU!A:C,3,)</f>
        <v>1544</v>
      </c>
      <c r="E258" s="3">
        <f t="shared" si="12"/>
        <v>0.23963730569948186</v>
      </c>
      <c r="F258" s="3">
        <f t="shared" si="13"/>
        <v>0.11981865284974093</v>
      </c>
      <c r="G258">
        <f t="shared" si="14"/>
        <v>11</v>
      </c>
      <c r="H258">
        <f t="shared" si="15"/>
        <v>3</v>
      </c>
    </row>
    <row r="259" spans="1:8">
      <c r="A259" s="8">
        <v>45001</v>
      </c>
      <c r="B259">
        <v>181</v>
      </c>
      <c r="C259">
        <f>VLOOKUP(G259,WAU!A:C,3,)</f>
        <v>772</v>
      </c>
      <c r="D259">
        <f>VLOOKUP(H259,MAU!A:C,3,)</f>
        <v>1544</v>
      </c>
      <c r="E259" s="3">
        <f t="shared" ref="E259:E304" si="16">B259/C259</f>
        <v>0.2344559585492228</v>
      </c>
      <c r="F259" s="3">
        <f t="shared" ref="F259:F304" si="17">B259/D259</f>
        <v>0.1172279792746114</v>
      </c>
      <c r="G259">
        <f t="shared" ref="G259:G304" si="18">_xlfn.ISOWEEKNUM(A259)</f>
        <v>11</v>
      </c>
      <c r="H259">
        <f t="shared" ref="H259:H304" si="19">MONTH(A259)</f>
        <v>3</v>
      </c>
    </row>
    <row r="260" spans="1:8">
      <c r="A260" s="8">
        <v>45002</v>
      </c>
      <c r="B260">
        <v>172</v>
      </c>
      <c r="C260">
        <f>VLOOKUP(G260,WAU!A:C,3,)</f>
        <v>772</v>
      </c>
      <c r="D260">
        <f>VLOOKUP(H260,MAU!A:C,3,)</f>
        <v>1544</v>
      </c>
      <c r="E260" s="3">
        <f t="shared" si="16"/>
        <v>0.22279792746113988</v>
      </c>
      <c r="F260" s="3">
        <f t="shared" si="17"/>
        <v>0.11139896373056994</v>
      </c>
      <c r="G260">
        <f t="shared" si="18"/>
        <v>11</v>
      </c>
      <c r="H260">
        <f t="shared" si="19"/>
        <v>3</v>
      </c>
    </row>
    <row r="261" spans="1:8">
      <c r="A261" s="8">
        <v>45003</v>
      </c>
      <c r="B261">
        <v>187</v>
      </c>
      <c r="C261">
        <f>VLOOKUP(G261,WAU!A:C,3,)</f>
        <v>772</v>
      </c>
      <c r="D261">
        <f>VLOOKUP(H261,MAU!A:C,3,)</f>
        <v>1544</v>
      </c>
      <c r="E261" s="3">
        <f t="shared" si="16"/>
        <v>0.2422279792746114</v>
      </c>
      <c r="F261" s="3">
        <f t="shared" si="17"/>
        <v>0.1211139896373057</v>
      </c>
      <c r="G261">
        <f t="shared" si="18"/>
        <v>11</v>
      </c>
      <c r="H261">
        <f t="shared" si="19"/>
        <v>3</v>
      </c>
    </row>
    <row r="262" spans="1:8">
      <c r="A262" s="8">
        <v>45004</v>
      </c>
      <c r="B262">
        <v>218</v>
      </c>
      <c r="C262">
        <f>VLOOKUP(G262,WAU!A:C,3,)</f>
        <v>772</v>
      </c>
      <c r="D262">
        <f>VLOOKUP(H262,MAU!A:C,3,)</f>
        <v>1544</v>
      </c>
      <c r="E262" s="3">
        <f t="shared" si="16"/>
        <v>0.28238341968911918</v>
      </c>
      <c r="F262" s="3">
        <f t="shared" si="17"/>
        <v>0.14119170984455959</v>
      </c>
      <c r="G262">
        <f t="shared" si="18"/>
        <v>11</v>
      </c>
      <c r="H262">
        <f t="shared" si="19"/>
        <v>3</v>
      </c>
    </row>
    <row r="263" spans="1:8">
      <c r="A263" s="8">
        <v>45005</v>
      </c>
      <c r="B263">
        <v>184</v>
      </c>
      <c r="C263">
        <f>VLOOKUP(G263,WAU!A:C,3,)</f>
        <v>656</v>
      </c>
      <c r="D263">
        <f>VLOOKUP(H263,MAU!A:C,3,)</f>
        <v>1544</v>
      </c>
      <c r="E263" s="3">
        <f t="shared" si="16"/>
        <v>0.28048780487804881</v>
      </c>
      <c r="F263" s="3">
        <f t="shared" si="17"/>
        <v>0.11917098445595854</v>
      </c>
      <c r="G263">
        <f t="shared" si="18"/>
        <v>12</v>
      </c>
      <c r="H263">
        <f t="shared" si="19"/>
        <v>3</v>
      </c>
    </row>
    <row r="264" spans="1:8">
      <c r="A264" s="8">
        <v>45006</v>
      </c>
      <c r="B264">
        <v>194</v>
      </c>
      <c r="C264">
        <f>VLOOKUP(G264,WAU!A:C,3,)</f>
        <v>656</v>
      </c>
      <c r="D264">
        <f>VLOOKUP(H264,MAU!A:C,3,)</f>
        <v>1544</v>
      </c>
      <c r="E264" s="3">
        <f t="shared" si="16"/>
        <v>0.29573170731707316</v>
      </c>
      <c r="F264" s="3">
        <f t="shared" si="17"/>
        <v>0.12564766839378239</v>
      </c>
      <c r="G264">
        <f t="shared" si="18"/>
        <v>12</v>
      </c>
      <c r="H264">
        <f t="shared" si="19"/>
        <v>3</v>
      </c>
    </row>
    <row r="265" spans="1:8">
      <c r="A265" s="4">
        <v>45007</v>
      </c>
      <c r="B265">
        <v>131</v>
      </c>
      <c r="C265">
        <f>VLOOKUP(G265,WAU!A:C,3,)</f>
        <v>656</v>
      </c>
      <c r="D265">
        <f>VLOOKUP(H265,MAU!A:C,3,)</f>
        <v>1544</v>
      </c>
      <c r="E265" s="3">
        <f t="shared" si="16"/>
        <v>0.19969512195121952</v>
      </c>
      <c r="F265" s="3">
        <f t="shared" si="17"/>
        <v>8.4844559585492224E-2</v>
      </c>
      <c r="G265">
        <f t="shared" si="18"/>
        <v>12</v>
      </c>
      <c r="H265">
        <f t="shared" si="19"/>
        <v>3</v>
      </c>
    </row>
    <row r="266" spans="1:8">
      <c r="A266" s="4">
        <v>45008</v>
      </c>
      <c r="B266">
        <v>176</v>
      </c>
      <c r="C266">
        <f>VLOOKUP(G266,WAU!A:C,3,)</f>
        <v>656</v>
      </c>
      <c r="D266">
        <f>VLOOKUP(H266,MAU!A:C,3,)</f>
        <v>1544</v>
      </c>
      <c r="E266" s="3">
        <f t="shared" si="16"/>
        <v>0.26829268292682928</v>
      </c>
      <c r="F266" s="3">
        <f t="shared" si="17"/>
        <v>0.11398963730569948</v>
      </c>
      <c r="G266">
        <f t="shared" si="18"/>
        <v>12</v>
      </c>
      <c r="H266">
        <f t="shared" si="19"/>
        <v>3</v>
      </c>
    </row>
    <row r="267" spans="1:8">
      <c r="A267" s="4">
        <v>45009</v>
      </c>
      <c r="B267">
        <v>136</v>
      </c>
      <c r="C267">
        <f>VLOOKUP(G267,WAU!A:C,3,)</f>
        <v>656</v>
      </c>
      <c r="D267">
        <f>VLOOKUP(H267,MAU!A:C,3,)</f>
        <v>1544</v>
      </c>
      <c r="E267" s="3">
        <f t="shared" si="16"/>
        <v>0.2073170731707317</v>
      </c>
      <c r="F267" s="3">
        <f t="shared" si="17"/>
        <v>8.8082901554404139E-2</v>
      </c>
      <c r="G267">
        <f t="shared" si="18"/>
        <v>12</v>
      </c>
      <c r="H267">
        <f t="shared" si="19"/>
        <v>3</v>
      </c>
    </row>
    <row r="268" spans="1:8">
      <c r="A268" s="4">
        <v>45010</v>
      </c>
      <c r="B268">
        <v>153</v>
      </c>
      <c r="C268">
        <f>VLOOKUP(G268,WAU!A:C,3,)</f>
        <v>656</v>
      </c>
      <c r="D268">
        <f>VLOOKUP(H268,MAU!A:C,3,)</f>
        <v>1544</v>
      </c>
      <c r="E268" s="3">
        <f t="shared" si="16"/>
        <v>0.23323170731707318</v>
      </c>
      <c r="F268" s="3">
        <f t="shared" si="17"/>
        <v>9.9093264248704668E-2</v>
      </c>
      <c r="G268">
        <f t="shared" si="18"/>
        <v>12</v>
      </c>
      <c r="H268">
        <f t="shared" si="19"/>
        <v>3</v>
      </c>
    </row>
    <row r="269" spans="1:8">
      <c r="A269" s="4">
        <v>45011</v>
      </c>
      <c r="B269">
        <v>159</v>
      </c>
      <c r="C269">
        <f>VLOOKUP(G269,WAU!A:C,3,)</f>
        <v>656</v>
      </c>
      <c r="D269">
        <f>VLOOKUP(H269,MAU!A:C,3,)</f>
        <v>1544</v>
      </c>
      <c r="E269" s="3">
        <f t="shared" si="16"/>
        <v>0.2423780487804878</v>
      </c>
      <c r="F269" s="3">
        <f t="shared" si="17"/>
        <v>0.10297927461139897</v>
      </c>
      <c r="G269">
        <f t="shared" si="18"/>
        <v>12</v>
      </c>
      <c r="H269">
        <f t="shared" si="19"/>
        <v>3</v>
      </c>
    </row>
    <row r="270" spans="1:8">
      <c r="A270" s="4">
        <v>45012</v>
      </c>
      <c r="B270">
        <v>143</v>
      </c>
      <c r="C270">
        <f>VLOOKUP(G270,WAU!A:C,3,)</f>
        <v>661</v>
      </c>
      <c r="D270">
        <f>VLOOKUP(H270,MAU!A:C,3,)</f>
        <v>1544</v>
      </c>
      <c r="E270" s="3">
        <f t="shared" si="16"/>
        <v>0.21633888048411498</v>
      </c>
      <c r="F270" s="3">
        <f t="shared" si="17"/>
        <v>9.2616580310880825E-2</v>
      </c>
      <c r="G270">
        <f t="shared" si="18"/>
        <v>13</v>
      </c>
      <c r="H270">
        <f t="shared" si="19"/>
        <v>3</v>
      </c>
    </row>
    <row r="271" spans="1:8">
      <c r="A271" s="4">
        <v>45013</v>
      </c>
      <c r="B271">
        <v>156</v>
      </c>
      <c r="C271">
        <f>VLOOKUP(G271,WAU!A:C,3,)</f>
        <v>661</v>
      </c>
      <c r="D271">
        <f>VLOOKUP(H271,MAU!A:C,3,)</f>
        <v>1544</v>
      </c>
      <c r="E271" s="3">
        <f t="shared" si="16"/>
        <v>0.23600605143721634</v>
      </c>
      <c r="F271" s="3">
        <f t="shared" si="17"/>
        <v>0.10103626943005181</v>
      </c>
      <c r="G271">
        <f t="shared" si="18"/>
        <v>13</v>
      </c>
      <c r="H271">
        <f t="shared" si="19"/>
        <v>3</v>
      </c>
    </row>
    <row r="272" spans="1:8">
      <c r="A272" s="4">
        <v>45014</v>
      </c>
      <c r="B272">
        <v>151</v>
      </c>
      <c r="C272">
        <f>VLOOKUP(G272,WAU!A:C,3,)</f>
        <v>661</v>
      </c>
      <c r="D272">
        <f>VLOOKUP(H272,MAU!A:C,3,)</f>
        <v>1544</v>
      </c>
      <c r="E272" s="3">
        <f t="shared" si="16"/>
        <v>0.22844175491679275</v>
      </c>
      <c r="F272" s="3">
        <f t="shared" si="17"/>
        <v>9.7797927461139897E-2</v>
      </c>
      <c r="G272">
        <f t="shared" si="18"/>
        <v>13</v>
      </c>
      <c r="H272">
        <f t="shared" si="19"/>
        <v>3</v>
      </c>
    </row>
    <row r="273" spans="1:8">
      <c r="A273" s="4">
        <v>45015</v>
      </c>
      <c r="B273">
        <v>148</v>
      </c>
      <c r="C273">
        <f>VLOOKUP(G273,WAU!A:C,3,)</f>
        <v>661</v>
      </c>
      <c r="D273">
        <f>VLOOKUP(H273,MAU!A:C,3,)</f>
        <v>1544</v>
      </c>
      <c r="E273" s="3">
        <f t="shared" si="16"/>
        <v>0.22390317700453857</v>
      </c>
      <c r="F273" s="3">
        <f t="shared" si="17"/>
        <v>9.585492227979274E-2</v>
      </c>
      <c r="G273">
        <f t="shared" si="18"/>
        <v>13</v>
      </c>
      <c r="H273">
        <f t="shared" si="19"/>
        <v>3</v>
      </c>
    </row>
    <row r="274" spans="1:8">
      <c r="A274" s="4">
        <v>45016</v>
      </c>
      <c r="B274">
        <v>184</v>
      </c>
      <c r="C274">
        <f>VLOOKUP(G274,WAU!A:C,3,)</f>
        <v>661</v>
      </c>
      <c r="D274">
        <f>VLOOKUP(H274,MAU!A:C,3,)</f>
        <v>1544</v>
      </c>
      <c r="E274" s="3">
        <f t="shared" si="16"/>
        <v>0.2783661119515885</v>
      </c>
      <c r="F274" s="3">
        <f t="shared" si="17"/>
        <v>0.11917098445595854</v>
      </c>
      <c r="G274">
        <f t="shared" si="18"/>
        <v>13</v>
      </c>
      <c r="H274">
        <f t="shared" si="19"/>
        <v>3</v>
      </c>
    </row>
    <row r="275" spans="1:8">
      <c r="A275" s="4">
        <v>45017</v>
      </c>
      <c r="B275">
        <v>204</v>
      </c>
      <c r="C275">
        <f>VLOOKUP(G275,WAU!A:C,3,)</f>
        <v>661</v>
      </c>
      <c r="D275">
        <f>VLOOKUP(H275,MAU!A:C,3,)</f>
        <v>1027</v>
      </c>
      <c r="E275" s="3">
        <f t="shared" si="16"/>
        <v>0.30862329803328292</v>
      </c>
      <c r="F275" s="3">
        <f t="shared" si="17"/>
        <v>0.19863680623174293</v>
      </c>
      <c r="G275">
        <f t="shared" si="18"/>
        <v>13</v>
      </c>
      <c r="H275">
        <f t="shared" si="19"/>
        <v>4</v>
      </c>
    </row>
    <row r="276" spans="1:8">
      <c r="A276" s="4">
        <v>45018</v>
      </c>
      <c r="B276">
        <v>215</v>
      </c>
      <c r="C276">
        <f>VLOOKUP(G276,WAU!A:C,3,)</f>
        <v>661</v>
      </c>
      <c r="D276">
        <f>VLOOKUP(H276,MAU!A:C,3,)</f>
        <v>1027</v>
      </c>
      <c r="E276" s="3">
        <f t="shared" si="16"/>
        <v>0.32526475037821484</v>
      </c>
      <c r="F276" s="3">
        <f t="shared" si="17"/>
        <v>0.20934761441090555</v>
      </c>
      <c r="G276">
        <f t="shared" si="18"/>
        <v>13</v>
      </c>
      <c r="H276">
        <f t="shared" si="19"/>
        <v>4</v>
      </c>
    </row>
    <row r="277" spans="1:8">
      <c r="A277" s="4">
        <v>45019</v>
      </c>
      <c r="B277">
        <v>198</v>
      </c>
      <c r="C277">
        <f>VLOOKUP(G277,WAU!A:C,3,)</f>
        <v>699</v>
      </c>
      <c r="D277">
        <f>VLOOKUP(H277,MAU!A:C,3,)</f>
        <v>1027</v>
      </c>
      <c r="E277" s="3">
        <f t="shared" si="16"/>
        <v>0.2832618025751073</v>
      </c>
      <c r="F277" s="3">
        <f t="shared" si="17"/>
        <v>0.19279454722492698</v>
      </c>
      <c r="G277">
        <f t="shared" si="18"/>
        <v>14</v>
      </c>
      <c r="H277">
        <f t="shared" si="19"/>
        <v>4</v>
      </c>
    </row>
    <row r="278" spans="1:8">
      <c r="A278" s="4">
        <v>45020</v>
      </c>
      <c r="B278">
        <v>199</v>
      </c>
      <c r="C278">
        <f>VLOOKUP(G278,WAU!A:C,3,)</f>
        <v>699</v>
      </c>
      <c r="D278">
        <f>VLOOKUP(H278,MAU!A:C,3,)</f>
        <v>1027</v>
      </c>
      <c r="E278" s="3">
        <f t="shared" si="16"/>
        <v>0.28469241773962806</v>
      </c>
      <c r="F278" s="3">
        <f t="shared" si="17"/>
        <v>0.19376825705939629</v>
      </c>
      <c r="G278">
        <f t="shared" si="18"/>
        <v>14</v>
      </c>
      <c r="H278">
        <f t="shared" si="19"/>
        <v>4</v>
      </c>
    </row>
    <row r="279" spans="1:8">
      <c r="A279" s="4">
        <v>45021</v>
      </c>
      <c r="B279">
        <v>188</v>
      </c>
      <c r="C279">
        <f>VLOOKUP(G279,WAU!A:C,3,)</f>
        <v>699</v>
      </c>
      <c r="D279">
        <f>VLOOKUP(H279,MAU!A:C,3,)</f>
        <v>1027</v>
      </c>
      <c r="E279" s="3">
        <f t="shared" si="16"/>
        <v>0.26895565092989987</v>
      </c>
      <c r="F279" s="3">
        <f t="shared" si="17"/>
        <v>0.1830574488802337</v>
      </c>
      <c r="G279">
        <f t="shared" si="18"/>
        <v>14</v>
      </c>
      <c r="H279">
        <f t="shared" si="19"/>
        <v>4</v>
      </c>
    </row>
    <row r="280" spans="1:8">
      <c r="A280" s="4">
        <v>45022</v>
      </c>
      <c r="B280">
        <v>197</v>
      </c>
      <c r="C280">
        <f>VLOOKUP(G280,WAU!A:C,3,)</f>
        <v>699</v>
      </c>
      <c r="D280">
        <f>VLOOKUP(H280,MAU!A:C,3,)</f>
        <v>1027</v>
      </c>
      <c r="E280" s="3">
        <f t="shared" si="16"/>
        <v>0.28183118741058655</v>
      </c>
      <c r="F280" s="3">
        <f t="shared" si="17"/>
        <v>0.19182083739045763</v>
      </c>
      <c r="G280">
        <f t="shared" si="18"/>
        <v>14</v>
      </c>
      <c r="H280">
        <f t="shared" si="19"/>
        <v>4</v>
      </c>
    </row>
    <row r="281" spans="1:8">
      <c r="A281" s="4">
        <v>45023</v>
      </c>
      <c r="B281">
        <v>192</v>
      </c>
      <c r="C281">
        <f>VLOOKUP(G281,WAU!A:C,3,)</f>
        <v>699</v>
      </c>
      <c r="D281">
        <f>VLOOKUP(H281,MAU!A:C,3,)</f>
        <v>1027</v>
      </c>
      <c r="E281" s="3">
        <f t="shared" si="16"/>
        <v>0.27467811158798283</v>
      </c>
      <c r="F281" s="3">
        <f t="shared" si="17"/>
        <v>0.186952288218111</v>
      </c>
      <c r="G281">
        <f t="shared" si="18"/>
        <v>14</v>
      </c>
      <c r="H281">
        <f t="shared" si="19"/>
        <v>4</v>
      </c>
    </row>
    <row r="282" spans="1:8">
      <c r="A282" s="4">
        <v>45024</v>
      </c>
      <c r="B282">
        <v>200</v>
      </c>
      <c r="C282">
        <f>VLOOKUP(G282,WAU!A:C,3,)</f>
        <v>699</v>
      </c>
      <c r="D282">
        <f>VLOOKUP(H282,MAU!A:C,3,)</f>
        <v>1027</v>
      </c>
      <c r="E282" s="3">
        <f t="shared" si="16"/>
        <v>0.28612303290414881</v>
      </c>
      <c r="F282" s="3">
        <f t="shared" si="17"/>
        <v>0.19474196689386564</v>
      </c>
      <c r="G282">
        <f t="shared" si="18"/>
        <v>14</v>
      </c>
      <c r="H282">
        <f t="shared" si="19"/>
        <v>4</v>
      </c>
    </row>
    <row r="283" spans="1:8">
      <c r="A283" s="4">
        <v>45025</v>
      </c>
      <c r="B283">
        <v>192</v>
      </c>
      <c r="C283">
        <f>VLOOKUP(G283,WAU!A:C,3,)</f>
        <v>699</v>
      </c>
      <c r="D283">
        <f>VLOOKUP(H283,MAU!A:C,3,)</f>
        <v>1027</v>
      </c>
      <c r="E283" s="3">
        <f t="shared" si="16"/>
        <v>0.27467811158798283</v>
      </c>
      <c r="F283" s="3">
        <f t="shared" si="17"/>
        <v>0.186952288218111</v>
      </c>
      <c r="G283">
        <f t="shared" si="18"/>
        <v>14</v>
      </c>
      <c r="H283">
        <f t="shared" si="19"/>
        <v>4</v>
      </c>
    </row>
    <row r="284" spans="1:8">
      <c r="A284" s="4">
        <v>45026</v>
      </c>
      <c r="B284">
        <v>172</v>
      </c>
      <c r="C284">
        <f>VLOOKUP(G284,WAU!A:C,3,)</f>
        <v>614</v>
      </c>
      <c r="D284">
        <f>VLOOKUP(H284,MAU!A:C,3,)</f>
        <v>1027</v>
      </c>
      <c r="E284" s="3">
        <f t="shared" si="16"/>
        <v>0.28013029315960913</v>
      </c>
      <c r="F284" s="3">
        <f t="shared" si="17"/>
        <v>0.16747809152872445</v>
      </c>
      <c r="G284">
        <f t="shared" si="18"/>
        <v>15</v>
      </c>
      <c r="H284">
        <f t="shared" si="19"/>
        <v>4</v>
      </c>
    </row>
    <row r="285" spans="1:8">
      <c r="A285" s="4">
        <v>45027</v>
      </c>
      <c r="B285">
        <v>160</v>
      </c>
      <c r="C285">
        <f>VLOOKUP(G285,WAU!A:C,3,)</f>
        <v>614</v>
      </c>
      <c r="D285">
        <f>VLOOKUP(H285,MAU!A:C,3,)</f>
        <v>1027</v>
      </c>
      <c r="E285" s="3">
        <f t="shared" si="16"/>
        <v>0.26058631921824105</v>
      </c>
      <c r="F285" s="3">
        <f t="shared" si="17"/>
        <v>0.15579357351509251</v>
      </c>
      <c r="G285">
        <f t="shared" si="18"/>
        <v>15</v>
      </c>
      <c r="H285">
        <f t="shared" si="19"/>
        <v>4</v>
      </c>
    </row>
    <row r="286" spans="1:8">
      <c r="A286" s="4">
        <v>45028</v>
      </c>
      <c r="B286">
        <v>168</v>
      </c>
      <c r="C286">
        <f>VLOOKUP(G286,WAU!A:C,3,)</f>
        <v>614</v>
      </c>
      <c r="D286">
        <f>VLOOKUP(H286,MAU!A:C,3,)</f>
        <v>1027</v>
      </c>
      <c r="E286" s="3">
        <f t="shared" si="16"/>
        <v>0.2736156351791531</v>
      </c>
      <c r="F286" s="3">
        <f t="shared" si="17"/>
        <v>0.16358325219084713</v>
      </c>
      <c r="G286">
        <f t="shared" si="18"/>
        <v>15</v>
      </c>
      <c r="H286">
        <f t="shared" si="19"/>
        <v>4</v>
      </c>
    </row>
    <row r="287" spans="1:8">
      <c r="A287" s="4">
        <v>45029</v>
      </c>
      <c r="B287">
        <v>171</v>
      </c>
      <c r="C287">
        <f>VLOOKUP(G287,WAU!A:C,3,)</f>
        <v>614</v>
      </c>
      <c r="D287">
        <f>VLOOKUP(H287,MAU!A:C,3,)</f>
        <v>1027</v>
      </c>
      <c r="E287" s="3">
        <f t="shared" si="16"/>
        <v>0.27850162866449513</v>
      </c>
      <c r="F287" s="3">
        <f t="shared" si="17"/>
        <v>0.1665043816942551</v>
      </c>
      <c r="G287">
        <f t="shared" si="18"/>
        <v>15</v>
      </c>
      <c r="H287">
        <f t="shared" si="19"/>
        <v>4</v>
      </c>
    </row>
    <row r="288" spans="1:8">
      <c r="A288" s="4">
        <v>45030</v>
      </c>
      <c r="B288">
        <v>154</v>
      </c>
      <c r="C288">
        <f>VLOOKUP(G288,WAU!A:C,3,)</f>
        <v>614</v>
      </c>
      <c r="D288">
        <f>VLOOKUP(H288,MAU!A:C,3,)</f>
        <v>1027</v>
      </c>
      <c r="E288" s="3">
        <f t="shared" si="16"/>
        <v>0.250814332247557</v>
      </c>
      <c r="F288" s="3">
        <f t="shared" si="17"/>
        <v>0.14995131450827653</v>
      </c>
      <c r="G288">
        <f t="shared" si="18"/>
        <v>15</v>
      </c>
      <c r="H288">
        <f t="shared" si="19"/>
        <v>4</v>
      </c>
    </row>
    <row r="289" spans="1:8">
      <c r="A289" s="4">
        <v>45031</v>
      </c>
      <c r="B289">
        <v>146</v>
      </c>
      <c r="C289">
        <f>VLOOKUP(G289,WAU!A:C,3,)</f>
        <v>614</v>
      </c>
      <c r="D289">
        <f>VLOOKUP(H289,MAU!A:C,3,)</f>
        <v>1027</v>
      </c>
      <c r="E289" s="3">
        <f t="shared" si="16"/>
        <v>0.23778501628664495</v>
      </c>
      <c r="F289" s="3">
        <f t="shared" si="17"/>
        <v>0.14216163583252192</v>
      </c>
      <c r="G289">
        <f t="shared" si="18"/>
        <v>15</v>
      </c>
      <c r="H289">
        <f t="shared" si="19"/>
        <v>4</v>
      </c>
    </row>
    <row r="290" spans="1:8">
      <c r="A290" s="4">
        <v>45032</v>
      </c>
      <c r="B290">
        <v>166</v>
      </c>
      <c r="C290">
        <f>VLOOKUP(G290,WAU!A:C,3,)</f>
        <v>614</v>
      </c>
      <c r="D290">
        <f>VLOOKUP(H290,MAU!A:C,3,)</f>
        <v>1027</v>
      </c>
      <c r="E290" s="3">
        <f t="shared" si="16"/>
        <v>0.27035830618892509</v>
      </c>
      <c r="F290" s="3">
        <f t="shared" si="17"/>
        <v>0.16163583252190847</v>
      </c>
      <c r="G290">
        <f t="shared" si="18"/>
        <v>15</v>
      </c>
      <c r="H290">
        <f t="shared" si="19"/>
        <v>4</v>
      </c>
    </row>
    <row r="291" spans="1:8">
      <c r="A291" s="4">
        <v>45033</v>
      </c>
      <c r="B291">
        <v>134</v>
      </c>
      <c r="C291">
        <f>VLOOKUP(G291,WAU!A:C,3,)</f>
        <v>545</v>
      </c>
      <c r="D291">
        <f>VLOOKUP(H291,MAU!A:C,3,)</f>
        <v>1027</v>
      </c>
      <c r="E291" s="3">
        <f t="shared" si="16"/>
        <v>0.24587155963302754</v>
      </c>
      <c r="F291" s="3">
        <f t="shared" si="17"/>
        <v>0.13047711781888996</v>
      </c>
      <c r="G291">
        <f t="shared" si="18"/>
        <v>16</v>
      </c>
      <c r="H291">
        <f t="shared" si="19"/>
        <v>4</v>
      </c>
    </row>
    <row r="292" spans="1:8">
      <c r="A292" s="4">
        <v>45034</v>
      </c>
      <c r="B292">
        <v>149</v>
      </c>
      <c r="C292">
        <f>VLOOKUP(G292,WAU!A:C,3,)</f>
        <v>545</v>
      </c>
      <c r="D292">
        <f>VLOOKUP(H292,MAU!A:C,3,)</f>
        <v>1027</v>
      </c>
      <c r="E292" s="3">
        <f t="shared" si="16"/>
        <v>0.27339449541284405</v>
      </c>
      <c r="F292" s="3">
        <f t="shared" si="17"/>
        <v>0.1450827653359299</v>
      </c>
      <c r="G292">
        <f t="shared" si="18"/>
        <v>16</v>
      </c>
      <c r="H292">
        <f t="shared" si="19"/>
        <v>4</v>
      </c>
    </row>
    <row r="293" spans="1:8">
      <c r="A293" s="4">
        <v>45035</v>
      </c>
      <c r="B293">
        <v>132</v>
      </c>
      <c r="C293">
        <f>VLOOKUP(G293,WAU!A:C,3,)</f>
        <v>545</v>
      </c>
      <c r="D293">
        <f>VLOOKUP(H293,MAU!A:C,3,)</f>
        <v>1027</v>
      </c>
      <c r="E293" s="3">
        <f t="shared" si="16"/>
        <v>0.24220183486238533</v>
      </c>
      <c r="F293" s="3">
        <f t="shared" si="17"/>
        <v>0.12852969814995133</v>
      </c>
      <c r="G293">
        <f t="shared" si="18"/>
        <v>16</v>
      </c>
      <c r="H293">
        <f t="shared" si="19"/>
        <v>4</v>
      </c>
    </row>
    <row r="294" spans="1:8">
      <c r="A294" s="4">
        <v>45036</v>
      </c>
      <c r="B294">
        <v>131</v>
      </c>
      <c r="C294">
        <f>VLOOKUP(G294,WAU!A:C,3,)</f>
        <v>545</v>
      </c>
      <c r="D294">
        <f>VLOOKUP(H294,MAU!A:C,3,)</f>
        <v>1027</v>
      </c>
      <c r="E294" s="3">
        <f t="shared" si="16"/>
        <v>0.24036697247706423</v>
      </c>
      <c r="F294" s="3">
        <f t="shared" si="17"/>
        <v>0.12755598831548198</v>
      </c>
      <c r="G294">
        <f t="shared" si="18"/>
        <v>16</v>
      </c>
      <c r="H294">
        <f t="shared" si="19"/>
        <v>4</v>
      </c>
    </row>
    <row r="295" spans="1:8">
      <c r="A295" s="4">
        <v>45037</v>
      </c>
      <c r="B295">
        <v>104</v>
      </c>
      <c r="C295">
        <f>VLOOKUP(G295,WAU!A:C,3,)</f>
        <v>545</v>
      </c>
      <c r="D295">
        <f>VLOOKUP(H295,MAU!A:C,3,)</f>
        <v>1027</v>
      </c>
      <c r="E295" s="3">
        <f t="shared" si="16"/>
        <v>0.19082568807339451</v>
      </c>
      <c r="F295" s="3">
        <f t="shared" si="17"/>
        <v>0.10126582278481013</v>
      </c>
      <c r="G295">
        <f t="shared" si="18"/>
        <v>16</v>
      </c>
      <c r="H295">
        <f t="shared" si="19"/>
        <v>4</v>
      </c>
    </row>
    <row r="296" spans="1:8">
      <c r="A296" s="4">
        <v>45038</v>
      </c>
      <c r="B296">
        <v>105</v>
      </c>
      <c r="C296">
        <f>VLOOKUP(G296,WAU!A:C,3,)</f>
        <v>545</v>
      </c>
      <c r="D296">
        <f>VLOOKUP(H296,MAU!A:C,3,)</f>
        <v>1027</v>
      </c>
      <c r="E296" s="3">
        <f t="shared" si="16"/>
        <v>0.19266055045871561</v>
      </c>
      <c r="F296" s="3">
        <f t="shared" si="17"/>
        <v>0.10223953261927946</v>
      </c>
      <c r="G296">
        <f t="shared" si="18"/>
        <v>16</v>
      </c>
      <c r="H296">
        <f t="shared" si="19"/>
        <v>4</v>
      </c>
    </row>
    <row r="297" spans="1:8">
      <c r="A297" s="4">
        <v>45039</v>
      </c>
      <c r="B297">
        <v>105</v>
      </c>
      <c r="C297">
        <f>VLOOKUP(G297,WAU!A:C,3,)</f>
        <v>545</v>
      </c>
      <c r="D297">
        <f>VLOOKUP(H297,MAU!A:C,3,)</f>
        <v>1027</v>
      </c>
      <c r="E297" s="3">
        <f t="shared" si="16"/>
        <v>0.19266055045871561</v>
      </c>
      <c r="F297" s="3">
        <f t="shared" si="17"/>
        <v>0.10223953261927946</v>
      </c>
      <c r="G297">
        <f t="shared" si="18"/>
        <v>16</v>
      </c>
      <c r="H297">
        <f t="shared" si="19"/>
        <v>4</v>
      </c>
    </row>
    <row r="298" spans="1:8">
      <c r="A298" s="4">
        <v>45040</v>
      </c>
      <c r="B298">
        <v>90</v>
      </c>
      <c r="C298">
        <f>VLOOKUP(G298,WAU!A:C,3,)</f>
        <v>422</v>
      </c>
      <c r="D298">
        <f>VLOOKUP(H298,MAU!A:C,3,)</f>
        <v>1027</v>
      </c>
      <c r="E298" s="3">
        <f t="shared" si="16"/>
        <v>0.2132701421800948</v>
      </c>
      <c r="F298" s="3">
        <f t="shared" si="17"/>
        <v>8.7633885102239531E-2</v>
      </c>
      <c r="G298">
        <f t="shared" si="18"/>
        <v>17</v>
      </c>
      <c r="H298">
        <f t="shared" si="19"/>
        <v>4</v>
      </c>
    </row>
    <row r="299" spans="1:8">
      <c r="A299" s="4">
        <v>45041</v>
      </c>
      <c r="B299">
        <v>101</v>
      </c>
      <c r="C299">
        <f>VLOOKUP(G299,WAU!A:C,3,)</f>
        <v>422</v>
      </c>
      <c r="D299">
        <f>VLOOKUP(H299,MAU!A:C,3,)</f>
        <v>1027</v>
      </c>
      <c r="E299" s="3">
        <f t="shared" si="16"/>
        <v>0.23933649289099526</v>
      </c>
      <c r="F299" s="3">
        <f t="shared" si="17"/>
        <v>9.8344693281402148E-2</v>
      </c>
      <c r="G299">
        <f t="shared" si="18"/>
        <v>17</v>
      </c>
      <c r="H299">
        <f t="shared" si="19"/>
        <v>4</v>
      </c>
    </row>
    <row r="300" spans="1:8">
      <c r="A300" s="4">
        <v>45042</v>
      </c>
      <c r="B300">
        <v>92</v>
      </c>
      <c r="C300">
        <f>VLOOKUP(G300,WAU!A:C,3,)</f>
        <v>422</v>
      </c>
      <c r="D300">
        <f>VLOOKUP(H300,MAU!A:C,3,)</f>
        <v>1027</v>
      </c>
      <c r="E300" s="3">
        <f t="shared" si="16"/>
        <v>0.21800947867298578</v>
      </c>
      <c r="F300" s="3">
        <f t="shared" si="17"/>
        <v>8.9581304771178191E-2</v>
      </c>
      <c r="G300">
        <f t="shared" si="18"/>
        <v>17</v>
      </c>
      <c r="H300">
        <f t="shared" si="19"/>
        <v>4</v>
      </c>
    </row>
    <row r="301" spans="1:8">
      <c r="A301" s="4">
        <v>45043</v>
      </c>
      <c r="B301">
        <v>68</v>
      </c>
      <c r="C301">
        <f>VLOOKUP(G301,WAU!A:C,3,)</f>
        <v>422</v>
      </c>
      <c r="D301">
        <f>VLOOKUP(H301,MAU!A:C,3,)</f>
        <v>1027</v>
      </c>
      <c r="E301" s="3">
        <f t="shared" si="16"/>
        <v>0.16113744075829384</v>
      </c>
      <c r="F301" s="3">
        <f t="shared" si="17"/>
        <v>6.621226874391431E-2</v>
      </c>
      <c r="G301">
        <f t="shared" si="18"/>
        <v>17</v>
      </c>
      <c r="H301">
        <f t="shared" si="19"/>
        <v>4</v>
      </c>
    </row>
    <row r="302" spans="1:8">
      <c r="A302" s="4">
        <v>45044</v>
      </c>
      <c r="B302">
        <v>75</v>
      </c>
      <c r="C302">
        <f>VLOOKUP(G302,WAU!A:C,3,)</f>
        <v>422</v>
      </c>
      <c r="D302">
        <f>VLOOKUP(H302,MAU!A:C,3,)</f>
        <v>1027</v>
      </c>
      <c r="E302" s="3">
        <f t="shared" si="16"/>
        <v>0.17772511848341233</v>
      </c>
      <c r="F302" s="3">
        <f t="shared" si="17"/>
        <v>7.3028237585199607E-2</v>
      </c>
      <c r="G302">
        <f t="shared" si="18"/>
        <v>17</v>
      </c>
      <c r="H302">
        <f t="shared" si="19"/>
        <v>4</v>
      </c>
    </row>
    <row r="303" spans="1:8">
      <c r="A303" s="4">
        <v>45045</v>
      </c>
      <c r="B303">
        <v>73</v>
      </c>
      <c r="C303">
        <f>VLOOKUP(G303,WAU!A:C,3,)</f>
        <v>422</v>
      </c>
      <c r="D303">
        <f>VLOOKUP(H303,MAU!A:C,3,)</f>
        <v>1027</v>
      </c>
      <c r="E303" s="3">
        <f t="shared" si="16"/>
        <v>0.17298578199052134</v>
      </c>
      <c r="F303" s="3">
        <f t="shared" si="17"/>
        <v>7.108081791626096E-2</v>
      </c>
      <c r="G303">
        <f t="shared" si="18"/>
        <v>17</v>
      </c>
      <c r="H303">
        <f t="shared" si="19"/>
        <v>4</v>
      </c>
    </row>
    <row r="304" spans="1:8">
      <c r="A304" s="4">
        <v>45046</v>
      </c>
      <c r="B304">
        <v>71</v>
      </c>
      <c r="C304">
        <f>VLOOKUP(G304,WAU!A:C,3,)</f>
        <v>422</v>
      </c>
      <c r="D304">
        <f>VLOOKUP(H304,MAU!A:C,3,)</f>
        <v>1027</v>
      </c>
      <c r="E304" s="3">
        <f t="shared" si="16"/>
        <v>0.16824644549763032</v>
      </c>
      <c r="F304" s="3">
        <f t="shared" si="17"/>
        <v>6.91333982473223E-2</v>
      </c>
      <c r="G304">
        <f t="shared" si="18"/>
        <v>17</v>
      </c>
      <c r="H304">
        <f t="shared" si="19"/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ACBE-C038-4E6A-BFC0-CF3CCD46A75E}">
  <dimension ref="A1:C45"/>
  <sheetViews>
    <sheetView tabSelected="1" workbookViewId="0">
      <selection activeCell="H9" sqref="H9"/>
    </sheetView>
  </sheetViews>
  <sheetFormatPr defaultRowHeight="14.4"/>
  <cols>
    <col min="1" max="1" width="13.5546875" bestFit="1" customWidth="1"/>
    <col min="2" max="2" width="14.21875" bestFit="1" customWidth="1"/>
  </cols>
  <sheetData>
    <row r="1" spans="1:3">
      <c r="A1" s="2" t="s">
        <v>7</v>
      </c>
      <c r="B1" t="s">
        <v>5</v>
      </c>
      <c r="C1" t="s">
        <v>6</v>
      </c>
    </row>
    <row r="2" spans="1:3">
      <c r="A2">
        <f>_xlfn.ISOWEEKNUM(B2)</f>
        <v>26</v>
      </c>
      <c r="B2" s="1">
        <v>44739</v>
      </c>
      <c r="C2">
        <v>6</v>
      </c>
    </row>
    <row r="3" spans="1:3">
      <c r="A3">
        <f t="shared" ref="A3:A45" si="0">_xlfn.ISOWEEKNUM(B3)</f>
        <v>27</v>
      </c>
      <c r="B3" s="1">
        <v>44746</v>
      </c>
      <c r="C3">
        <v>59</v>
      </c>
    </row>
    <row r="4" spans="1:3">
      <c r="A4">
        <f t="shared" si="0"/>
        <v>28</v>
      </c>
      <c r="B4" s="1">
        <v>44753</v>
      </c>
      <c r="C4">
        <v>92</v>
      </c>
    </row>
    <row r="5" spans="1:3">
      <c r="A5">
        <f t="shared" si="0"/>
        <v>29</v>
      </c>
      <c r="B5" s="1">
        <v>44760</v>
      </c>
      <c r="C5">
        <v>133</v>
      </c>
    </row>
    <row r="6" spans="1:3">
      <c r="A6">
        <f t="shared" si="0"/>
        <v>30</v>
      </c>
      <c r="B6" s="1">
        <v>44767</v>
      </c>
      <c r="C6">
        <v>183</v>
      </c>
    </row>
    <row r="7" spans="1:3">
      <c r="A7">
        <f t="shared" si="0"/>
        <v>31</v>
      </c>
      <c r="B7" s="1">
        <v>44774</v>
      </c>
      <c r="C7">
        <v>202</v>
      </c>
    </row>
    <row r="8" spans="1:3">
      <c r="A8">
        <f t="shared" si="0"/>
        <v>32</v>
      </c>
      <c r="B8" s="1">
        <v>44781</v>
      </c>
      <c r="C8">
        <v>193</v>
      </c>
    </row>
    <row r="9" spans="1:3">
      <c r="A9">
        <f t="shared" si="0"/>
        <v>33</v>
      </c>
      <c r="B9" s="1">
        <v>44788</v>
      </c>
      <c r="C9">
        <v>201</v>
      </c>
    </row>
    <row r="10" spans="1:3">
      <c r="A10">
        <f t="shared" si="0"/>
        <v>34</v>
      </c>
      <c r="B10" s="1">
        <v>44795</v>
      </c>
      <c r="C10">
        <v>206</v>
      </c>
    </row>
    <row r="11" spans="1:3">
      <c r="A11">
        <f t="shared" si="0"/>
        <v>35</v>
      </c>
      <c r="B11" s="1">
        <v>44802</v>
      </c>
      <c r="C11">
        <v>192</v>
      </c>
    </row>
    <row r="12" spans="1:3">
      <c r="A12">
        <f t="shared" si="0"/>
        <v>36</v>
      </c>
      <c r="B12" s="1">
        <v>44809</v>
      </c>
      <c r="C12">
        <v>196</v>
      </c>
    </row>
    <row r="13" spans="1:3">
      <c r="A13">
        <f t="shared" si="0"/>
        <v>37</v>
      </c>
      <c r="B13" s="1">
        <v>44816</v>
      </c>
      <c r="C13">
        <v>205</v>
      </c>
    </row>
    <row r="14" spans="1:3">
      <c r="A14">
        <f t="shared" si="0"/>
        <v>38</v>
      </c>
      <c r="B14" s="1">
        <v>44823</v>
      </c>
      <c r="C14">
        <v>213</v>
      </c>
    </row>
    <row r="15" spans="1:3">
      <c r="A15">
        <f t="shared" si="0"/>
        <v>39</v>
      </c>
      <c r="B15" s="1">
        <v>44830</v>
      </c>
      <c r="C15">
        <v>208</v>
      </c>
    </row>
    <row r="16" spans="1:3">
      <c r="A16">
        <f t="shared" si="0"/>
        <v>40</v>
      </c>
      <c r="B16" s="1">
        <v>44837</v>
      </c>
      <c r="C16">
        <v>207</v>
      </c>
    </row>
    <row r="17" spans="1:3">
      <c r="A17">
        <f t="shared" si="0"/>
        <v>41</v>
      </c>
      <c r="B17" s="1">
        <v>44844</v>
      </c>
      <c r="C17">
        <v>204</v>
      </c>
    </row>
    <row r="18" spans="1:3">
      <c r="A18">
        <f t="shared" si="0"/>
        <v>42</v>
      </c>
      <c r="B18" s="1">
        <v>44851</v>
      </c>
      <c r="C18">
        <v>201</v>
      </c>
    </row>
    <row r="19" spans="1:3">
      <c r="A19">
        <f t="shared" si="0"/>
        <v>43</v>
      </c>
      <c r="B19" s="1">
        <v>44858</v>
      </c>
      <c r="C19">
        <v>213</v>
      </c>
    </row>
    <row r="20" spans="1:3">
      <c r="A20">
        <f t="shared" si="0"/>
        <v>44</v>
      </c>
      <c r="B20" s="1">
        <v>44865</v>
      </c>
      <c r="C20">
        <v>214</v>
      </c>
    </row>
    <row r="21" spans="1:3">
      <c r="A21">
        <f t="shared" si="0"/>
        <v>45</v>
      </c>
      <c r="B21" s="1">
        <v>44872</v>
      </c>
      <c r="C21">
        <v>203</v>
      </c>
    </row>
    <row r="22" spans="1:3">
      <c r="A22">
        <f t="shared" si="0"/>
        <v>46</v>
      </c>
      <c r="B22" s="1">
        <v>44879</v>
      </c>
      <c r="C22">
        <v>202</v>
      </c>
    </row>
    <row r="23" spans="1:3">
      <c r="A23">
        <f t="shared" si="0"/>
        <v>47</v>
      </c>
      <c r="B23" s="1">
        <v>44886</v>
      </c>
      <c r="C23">
        <v>167</v>
      </c>
    </row>
    <row r="24" spans="1:3">
      <c r="A24">
        <f t="shared" si="0"/>
        <v>48</v>
      </c>
      <c r="B24" s="1">
        <v>44893</v>
      </c>
      <c r="C24">
        <v>157</v>
      </c>
    </row>
    <row r="25" spans="1:3">
      <c r="A25">
        <f t="shared" si="0"/>
        <v>49</v>
      </c>
      <c r="B25" s="1">
        <v>44900</v>
      </c>
      <c r="C25">
        <v>156</v>
      </c>
    </row>
    <row r="26" spans="1:3">
      <c r="A26">
        <f t="shared" si="0"/>
        <v>50</v>
      </c>
      <c r="B26" s="1">
        <v>44907</v>
      </c>
      <c r="C26">
        <v>153</v>
      </c>
    </row>
    <row r="27" spans="1:3">
      <c r="A27">
        <f t="shared" si="0"/>
        <v>51</v>
      </c>
      <c r="B27" s="1">
        <v>44914</v>
      </c>
      <c r="C27">
        <v>145</v>
      </c>
    </row>
    <row r="28" spans="1:3">
      <c r="A28">
        <f t="shared" si="0"/>
        <v>52</v>
      </c>
      <c r="B28" s="1">
        <v>44921</v>
      </c>
      <c r="C28">
        <v>141</v>
      </c>
    </row>
    <row r="29" spans="1:3">
      <c r="A29">
        <f t="shared" si="0"/>
        <v>1</v>
      </c>
      <c r="B29" s="1">
        <v>44928</v>
      </c>
      <c r="C29">
        <v>190</v>
      </c>
    </row>
    <row r="30" spans="1:3">
      <c r="A30">
        <f t="shared" si="0"/>
        <v>2</v>
      </c>
      <c r="B30" s="1">
        <v>44935</v>
      </c>
      <c r="C30">
        <v>233</v>
      </c>
    </row>
    <row r="31" spans="1:3">
      <c r="A31">
        <f t="shared" si="0"/>
        <v>3</v>
      </c>
      <c r="B31" s="1">
        <v>44942</v>
      </c>
      <c r="C31">
        <v>272</v>
      </c>
    </row>
    <row r="32" spans="1:3">
      <c r="A32">
        <f t="shared" si="0"/>
        <v>4</v>
      </c>
      <c r="B32" s="1">
        <v>44949</v>
      </c>
      <c r="C32">
        <v>295</v>
      </c>
    </row>
    <row r="33" spans="1:3">
      <c r="A33">
        <f t="shared" si="0"/>
        <v>5</v>
      </c>
      <c r="B33" s="1">
        <v>44956</v>
      </c>
      <c r="C33">
        <v>346</v>
      </c>
    </row>
    <row r="34" spans="1:3">
      <c r="A34">
        <f t="shared" si="0"/>
        <v>6</v>
      </c>
      <c r="B34" s="1">
        <v>44963</v>
      </c>
      <c r="C34">
        <v>340</v>
      </c>
    </row>
    <row r="35" spans="1:3">
      <c r="A35">
        <f t="shared" si="0"/>
        <v>7</v>
      </c>
      <c r="B35" s="1">
        <v>44970</v>
      </c>
      <c r="C35">
        <v>347</v>
      </c>
    </row>
    <row r="36" spans="1:3">
      <c r="A36">
        <f t="shared" si="0"/>
        <v>8</v>
      </c>
      <c r="B36" s="1">
        <v>44977</v>
      </c>
      <c r="C36">
        <v>384</v>
      </c>
    </row>
    <row r="37" spans="1:3">
      <c r="A37">
        <f t="shared" si="0"/>
        <v>9</v>
      </c>
      <c r="B37" s="1">
        <v>44984</v>
      </c>
      <c r="C37">
        <v>611</v>
      </c>
    </row>
    <row r="38" spans="1:3">
      <c r="A38">
        <f t="shared" si="0"/>
        <v>10</v>
      </c>
      <c r="B38" s="1">
        <v>44991</v>
      </c>
      <c r="C38">
        <v>712</v>
      </c>
    </row>
    <row r="39" spans="1:3">
      <c r="A39">
        <f t="shared" si="0"/>
        <v>11</v>
      </c>
      <c r="B39" s="1">
        <v>44998</v>
      </c>
      <c r="C39">
        <v>772</v>
      </c>
    </row>
    <row r="40" spans="1:3">
      <c r="A40">
        <f t="shared" si="0"/>
        <v>12</v>
      </c>
      <c r="B40" s="1">
        <v>45005</v>
      </c>
      <c r="C40">
        <v>656</v>
      </c>
    </row>
    <row r="41" spans="1:3">
      <c r="A41">
        <f t="shared" si="0"/>
        <v>13</v>
      </c>
      <c r="B41" s="1">
        <v>45012</v>
      </c>
      <c r="C41">
        <v>661</v>
      </c>
    </row>
    <row r="42" spans="1:3">
      <c r="A42">
        <f t="shared" si="0"/>
        <v>14</v>
      </c>
      <c r="B42" s="1">
        <v>45019</v>
      </c>
      <c r="C42">
        <v>699</v>
      </c>
    </row>
    <row r="43" spans="1:3">
      <c r="A43">
        <f t="shared" si="0"/>
        <v>15</v>
      </c>
      <c r="B43" s="1">
        <v>45026</v>
      </c>
      <c r="C43">
        <v>614</v>
      </c>
    </row>
    <row r="44" spans="1:3">
      <c r="A44">
        <f t="shared" si="0"/>
        <v>16</v>
      </c>
      <c r="B44" s="1">
        <v>45033</v>
      </c>
      <c r="C44">
        <v>545</v>
      </c>
    </row>
    <row r="45" spans="1:3">
      <c r="A45">
        <f t="shared" si="0"/>
        <v>17</v>
      </c>
      <c r="B45" s="1">
        <v>45040</v>
      </c>
      <c r="C45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E193-BA1B-4E2E-817A-7458EF292557}">
  <dimension ref="A1:C11"/>
  <sheetViews>
    <sheetView workbookViewId="0">
      <selection activeCell="C22" sqref="C22"/>
    </sheetView>
  </sheetViews>
  <sheetFormatPr defaultRowHeight="14.4"/>
  <cols>
    <col min="1" max="1" width="13.44140625" bestFit="1" customWidth="1"/>
    <col min="2" max="2" width="14.21875" bestFit="1" customWidth="1"/>
  </cols>
  <sheetData>
    <row r="1" spans="1:3">
      <c r="A1" s="2" t="s">
        <v>4</v>
      </c>
      <c r="B1" t="s">
        <v>2</v>
      </c>
      <c r="C1" t="s">
        <v>3</v>
      </c>
    </row>
    <row r="2" spans="1:3">
      <c r="A2">
        <f>MONTH(B2)</f>
        <v>7</v>
      </c>
      <c r="B2" s="1">
        <v>44743</v>
      </c>
      <c r="C2">
        <v>193</v>
      </c>
    </row>
    <row r="3" spans="1:3">
      <c r="A3">
        <f t="shared" ref="A3:A11" si="0">MONTH(B3)</f>
        <v>8</v>
      </c>
      <c r="B3" s="1">
        <v>44774</v>
      </c>
      <c r="C3">
        <v>366</v>
      </c>
    </row>
    <row r="4" spans="1:3">
      <c r="A4">
        <f t="shared" si="0"/>
        <v>9</v>
      </c>
      <c r="B4" s="1">
        <v>44805</v>
      </c>
      <c r="C4">
        <v>378</v>
      </c>
    </row>
    <row r="5" spans="1:3">
      <c r="A5">
        <f t="shared" si="0"/>
        <v>10</v>
      </c>
      <c r="B5" s="1">
        <v>44835</v>
      </c>
      <c r="C5">
        <v>393</v>
      </c>
    </row>
    <row r="6" spans="1:3">
      <c r="A6">
        <f t="shared" si="0"/>
        <v>11</v>
      </c>
      <c r="B6" s="1">
        <v>44866</v>
      </c>
      <c r="C6">
        <v>426</v>
      </c>
    </row>
    <row r="7" spans="1:3">
      <c r="A7">
        <f t="shared" si="0"/>
        <v>12</v>
      </c>
      <c r="B7" s="1">
        <v>44896</v>
      </c>
      <c r="C7">
        <v>390</v>
      </c>
    </row>
    <row r="8" spans="1:3">
      <c r="A8">
        <f t="shared" si="0"/>
        <v>1</v>
      </c>
      <c r="B8" s="1">
        <v>44927</v>
      </c>
      <c r="C8">
        <v>536</v>
      </c>
    </row>
    <row r="9" spans="1:3">
      <c r="A9">
        <f t="shared" si="0"/>
        <v>2</v>
      </c>
      <c r="B9" s="1">
        <v>44958</v>
      </c>
      <c r="C9">
        <v>696</v>
      </c>
    </row>
    <row r="10" spans="1:3">
      <c r="A10">
        <f t="shared" si="0"/>
        <v>3</v>
      </c>
      <c r="B10" s="1">
        <v>44986</v>
      </c>
      <c r="C10">
        <v>1544</v>
      </c>
    </row>
    <row r="11" spans="1:3">
      <c r="A11">
        <f t="shared" si="0"/>
        <v>4</v>
      </c>
      <c r="B11" s="1">
        <v>45017</v>
      </c>
      <c r="C1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Результат запроса</vt:lpstr>
      <vt:lpstr>WAU</vt:lpstr>
      <vt:lpstr>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Даниил Чумакин</cp:lastModifiedBy>
  <dcterms:created xsi:type="dcterms:W3CDTF">2026-01-22T12:40:00Z</dcterms:created>
  <dcterms:modified xsi:type="dcterms:W3CDTF">2026-08-19T14:39:36Z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E1967AC22BD74F20B9A9DA8E8E250B18_13</vt:lpwstr>
  </property>
  <property fmtid="{D5CDD505-2E9C-101B-9397-08002B2CF9AE}" pid="3" name="KSOProductBuildVer">
    <vt:lpwstr>1049-12.2.0.23196</vt:lpwstr>
  </property>
</Properties>
</file>