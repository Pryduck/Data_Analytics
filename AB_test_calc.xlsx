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F1F7B6C-87EE-4B6D-A1E3-0ED817E7E2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Итог" sheetId="4" r:id="rId1"/>
    <sheet name="положительный_исход" sheetId="1" r:id="rId2"/>
    <sheet name="отрицательный_исход" sheetId="2" r:id="rId3"/>
    <sheet name="нейтральный_исход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P3" i="2"/>
  <c r="P4" i="2"/>
  <c r="P2" i="2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3" i="1"/>
  <c r="P2" i="1"/>
  <c r="B5" i="4" l="1"/>
  <c r="B6" i="4"/>
  <c r="B7" i="4" l="1"/>
</calcChain>
</file>

<file path=xl/sharedStrings.xml><?xml version="1.0" encoding="utf-8"?>
<sst xmlns="http://schemas.openxmlformats.org/spreadsheetml/2006/main" count="156" uniqueCount="44">
  <si>
    <t>city</t>
  </si>
  <si>
    <t>id_trading_point</t>
  </si>
  <si>
    <t>avg_payment_test</t>
  </si>
  <si>
    <t>count_test</t>
  </si>
  <si>
    <t>avg_payment_control</t>
  </si>
  <si>
    <t>count_control</t>
  </si>
  <si>
    <t>count_all</t>
  </si>
  <si>
    <t>percent_count</t>
  </si>
  <si>
    <t>diff</t>
  </si>
  <si>
    <t>sigma_test</t>
  </si>
  <si>
    <t>sigma_control</t>
  </si>
  <si>
    <t>ttest</t>
  </si>
  <si>
    <t>pvalue_ttest</t>
  </si>
  <si>
    <t>conclusion</t>
  </si>
  <si>
    <t>Владимир</t>
  </si>
  <si>
    <t>Казань</t>
  </si>
  <si>
    <t>Москва</t>
  </si>
  <si>
    <t>Самара</t>
  </si>
  <si>
    <t>Санкт-Петербург</t>
  </si>
  <si>
    <t>положительный исход</t>
  </si>
  <si>
    <t>Волгоград</t>
  </si>
  <si>
    <t>Краснодар</t>
  </si>
  <si>
    <t>отрицательный исход</t>
  </si>
  <si>
    <t>Дмитров</t>
  </si>
  <si>
    <t>Красноярск</t>
  </si>
  <si>
    <t>Мурманск</t>
  </si>
  <si>
    <t>Саратов</t>
  </si>
  <si>
    <t>Сахалинск</t>
  </si>
  <si>
    <t>Сочи</t>
  </si>
  <si>
    <t>Тольятти</t>
  </si>
  <si>
    <t>Тюмень</t>
  </si>
  <si>
    <t>нейтральный исход</t>
  </si>
  <si>
    <t>N</t>
  </si>
  <si>
    <t>MDE</t>
  </si>
  <si>
    <t>Прирост выручки</t>
  </si>
  <si>
    <t>Падение выручки</t>
  </si>
  <si>
    <t xml:space="preserve">Баланс </t>
  </si>
  <si>
    <t>Количество наблюдений</t>
  </si>
  <si>
    <t>Вводные данные</t>
  </si>
  <si>
    <t>Расчётные данные</t>
  </si>
  <si>
    <t>Выручка</t>
  </si>
  <si>
    <t>Выручка (падение)</t>
  </si>
  <si>
    <t>Торговая точка:</t>
  </si>
  <si>
    <t xml:space="preserve">Как видим, наш баланс значительно возрос, введение системы push-уведомлений пошло на пользу, однако рекомендуется делать это не во всех городах (подробнее о городах в ipynb-файле), а также добавить наблюдения для некоторых т.т.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</si>
</sst>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" fontId="0" fillId="0" borderId="0" xfId="1" applyNumberFormat="1" applyFont="1"/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8697-75D5-4156-8000-CA4B63B779EA}">
  <dimension ref="A1:P10"/>
  <sheetViews>
    <sheetView tabSelected="1" workbookViewId="0">
      <selection activeCell="D20" sqref="D20"/>
    </sheetView>
  </sheetViews>
  <sheetFormatPr defaultRowHeight="14.4" x14ac:dyDescent="0.3"/>
  <cols>
    <col min="1" max="1" width="22.88671875" bestFit="1" customWidth="1"/>
    <col min="2" max="2" width="10.6640625" bestFit="1" customWidth="1"/>
    <col min="3" max="3" width="15.77734375" bestFit="1" customWidth="1"/>
    <col min="4" max="4" width="16.21875" bestFit="1" customWidth="1"/>
    <col min="6" max="6" width="22.88671875" bestFit="1" customWidth="1"/>
  </cols>
  <sheetData>
    <row r="1" spans="1:16" x14ac:dyDescent="0.3">
      <c r="A1" s="4" t="s">
        <v>38</v>
      </c>
      <c r="B1" s="4"/>
    </row>
    <row r="2" spans="1:16" x14ac:dyDescent="0.3">
      <c r="A2" t="s">
        <v>32</v>
      </c>
      <c r="B2">
        <v>10000</v>
      </c>
    </row>
    <row r="3" spans="1:16" x14ac:dyDescent="0.3">
      <c r="A3" t="s">
        <v>33</v>
      </c>
      <c r="B3" s="2">
        <v>1000</v>
      </c>
    </row>
    <row r="4" spans="1:16" x14ac:dyDescent="0.3">
      <c r="A4" s="4" t="s">
        <v>39</v>
      </c>
      <c r="B4" s="4"/>
    </row>
    <row r="5" spans="1:16" x14ac:dyDescent="0.3">
      <c r="A5" t="s">
        <v>34</v>
      </c>
      <c r="B5" s="1">
        <f>SUM(положительный_исход!P2:P18)</f>
        <v>2636331.9716959358</v>
      </c>
    </row>
    <row r="6" spans="1:16" x14ac:dyDescent="0.3">
      <c r="A6" t="s">
        <v>35</v>
      </c>
      <c r="B6" s="1">
        <f>SUM(отрицательный_исход!P2:P4)</f>
        <v>-256137.43891356231</v>
      </c>
    </row>
    <row r="7" spans="1:16" ht="14.4" customHeight="1" x14ac:dyDescent="0.3">
      <c r="A7" t="s">
        <v>36</v>
      </c>
      <c r="B7" s="1">
        <f>B5+B6</f>
        <v>2380194.5327823735</v>
      </c>
      <c r="C7" s="5" t="s">
        <v>43</v>
      </c>
      <c r="D7" s="5"/>
      <c r="E7" s="5"/>
      <c r="F7" s="5"/>
      <c r="G7" s="5"/>
      <c r="H7" s="5"/>
      <c r="I7" s="5"/>
      <c r="J7" s="6"/>
      <c r="K7" s="6"/>
      <c r="L7" s="6"/>
      <c r="M7" s="6"/>
      <c r="N7" s="6"/>
      <c r="O7" s="6"/>
      <c r="P7" s="6"/>
    </row>
    <row r="8" spans="1:16" x14ac:dyDescent="0.3">
      <c r="A8" t="s">
        <v>37</v>
      </c>
      <c r="B8" s="1">
        <f>16*MIN(INDEX(нейтральный_исход!J$2:J$32,MATCH(B9,нейтральный_исход!B$2:B$32,0)),INDEX(нейтральный_исход!K$2:K$32,MATCH(B9,нейтральный_исход!B$2:B$32,0)))^2/(B3^2)</f>
        <v>117.69957364514052</v>
      </c>
      <c r="C8" s="5"/>
      <c r="D8" s="5"/>
      <c r="E8" s="5"/>
      <c r="F8" s="5"/>
      <c r="G8" s="5"/>
      <c r="H8" s="5"/>
      <c r="I8" s="5"/>
      <c r="J8" s="6"/>
      <c r="K8" s="6"/>
      <c r="L8" s="6"/>
      <c r="M8" s="6"/>
      <c r="N8" s="6"/>
      <c r="O8" s="6"/>
      <c r="P8" s="6"/>
    </row>
    <row r="9" spans="1:16" x14ac:dyDescent="0.3">
      <c r="A9" t="s">
        <v>42</v>
      </c>
      <c r="B9" s="3">
        <v>3786</v>
      </c>
      <c r="C9" s="5"/>
      <c r="D9" s="5"/>
      <c r="E9" s="5"/>
      <c r="F9" s="5"/>
      <c r="G9" s="5"/>
      <c r="H9" s="5"/>
      <c r="I9" s="5"/>
      <c r="J9" s="6"/>
      <c r="K9" s="6"/>
      <c r="L9" s="6"/>
      <c r="M9" s="6"/>
      <c r="N9" s="6"/>
      <c r="O9" s="6"/>
      <c r="P9" s="6"/>
    </row>
    <row r="10" spans="1:16" x14ac:dyDescent="0.3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</sheetData>
  <mergeCells count="3">
    <mergeCell ref="A1:B1"/>
    <mergeCell ref="A4:B4"/>
    <mergeCell ref="C7:I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A2B7B0-D64A-407A-8086-1D530F27A0D3}">
          <x14:formula1>
            <xm:f>нейтральный_исход!$B$2:$B$32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workbookViewId="0">
      <selection activeCell="P2" sqref="P2"/>
    </sheetView>
  </sheetViews>
  <sheetFormatPr defaultRowHeight="14.4" x14ac:dyDescent="0.3"/>
  <cols>
    <col min="15" max="15" width="11.44140625" customWidth="1"/>
    <col min="16" max="16" width="10.44140625" bestFit="1" customWidth="1"/>
    <col min="17" max="17" width="10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40</v>
      </c>
    </row>
    <row r="2" spans="1:16" x14ac:dyDescent="0.3">
      <c r="A2" t="s">
        <v>14</v>
      </c>
      <c r="B2">
        <v>11</v>
      </c>
      <c r="C2">
        <v>2547.2200392927311</v>
      </c>
      <c r="D2">
        <v>509</v>
      </c>
      <c r="E2">
        <v>2108.6101973684208</v>
      </c>
      <c r="F2">
        <v>608</v>
      </c>
      <c r="G2">
        <v>45318</v>
      </c>
      <c r="H2">
        <v>2.464804272033188</v>
      </c>
      <c r="I2">
        <v>438.60984192430942</v>
      </c>
      <c r="J2">
        <v>3023.7021636269092</v>
      </c>
      <c r="K2">
        <v>2663.0383919741248</v>
      </c>
      <c r="L2">
        <v>2.576955493292318</v>
      </c>
      <c r="M2">
        <v>1.009511217035172E-2</v>
      </c>
      <c r="N2" t="s">
        <v>19</v>
      </c>
      <c r="P2" s="1">
        <f>I2*Итог!$B$2*H2/100</f>
        <v>108108.74121308392</v>
      </c>
    </row>
    <row r="3" spans="1:16" x14ac:dyDescent="0.3">
      <c r="A3" t="s">
        <v>15</v>
      </c>
      <c r="B3">
        <v>991</v>
      </c>
      <c r="C3">
        <v>3249.281481481481</v>
      </c>
      <c r="D3">
        <v>270</v>
      </c>
      <c r="E3">
        <v>2452.9863945578231</v>
      </c>
      <c r="F3">
        <v>294</v>
      </c>
      <c r="G3">
        <v>45318</v>
      </c>
      <c r="H3">
        <v>1.2445385939361839</v>
      </c>
      <c r="I3">
        <v>796.29508692365835</v>
      </c>
      <c r="J3">
        <v>4719.592601269801</v>
      </c>
      <c r="K3">
        <v>3633.9358583139378</v>
      </c>
      <c r="L3">
        <v>2.2552583978062271</v>
      </c>
      <c r="M3">
        <v>2.450100489027178E-2</v>
      </c>
      <c r="N3" t="s">
        <v>19</v>
      </c>
      <c r="P3" s="1">
        <f>I3*Итог!$B$2*H3/100</f>
        <v>99101.996783826107</v>
      </c>
    </row>
    <row r="4" spans="1:16" x14ac:dyDescent="0.3">
      <c r="A4" t="s">
        <v>16</v>
      </c>
      <c r="B4">
        <v>1002</v>
      </c>
      <c r="C4">
        <v>4121.753623188406</v>
      </c>
      <c r="D4">
        <v>138</v>
      </c>
      <c r="E4">
        <v>1844.7872340425531</v>
      </c>
      <c r="F4">
        <v>188</v>
      </c>
      <c r="G4">
        <v>45318</v>
      </c>
      <c r="H4">
        <v>0.71936096032481578</v>
      </c>
      <c r="I4">
        <v>2276.9663891458531</v>
      </c>
      <c r="J4">
        <v>4084.26317598171</v>
      </c>
      <c r="K4">
        <v>2436.5361201199112</v>
      </c>
      <c r="L4">
        <v>6.2746223040715314</v>
      </c>
      <c r="M4">
        <v>1.1223868363766549E-9</v>
      </c>
      <c r="N4" t="s">
        <v>19</v>
      </c>
      <c r="P4" s="1">
        <f>I4*Итог!$B$2*H4/100</f>
        <v>163796.07283232891</v>
      </c>
    </row>
    <row r="5" spans="1:16" x14ac:dyDescent="0.3">
      <c r="A5" t="s">
        <v>16</v>
      </c>
      <c r="B5">
        <v>1287</v>
      </c>
      <c r="C5">
        <v>2128.5567567567568</v>
      </c>
      <c r="D5">
        <v>370</v>
      </c>
      <c r="E5">
        <v>1394.6554621848741</v>
      </c>
      <c r="F5">
        <v>357</v>
      </c>
      <c r="G5">
        <v>45318</v>
      </c>
      <c r="H5">
        <v>1.604219074098592</v>
      </c>
      <c r="I5">
        <v>733.901294571883</v>
      </c>
      <c r="J5">
        <v>2437.3764580230431</v>
      </c>
      <c r="K5">
        <v>2338.461778714975</v>
      </c>
      <c r="L5">
        <v>4.1402972158827431</v>
      </c>
      <c r="M5">
        <v>3.8765660443010677E-5</v>
      </c>
      <c r="N5" t="s">
        <v>19</v>
      </c>
      <c r="P5" s="1">
        <f>I5*Итог!$B$2*H5/100</f>
        <v>117733.84552578643</v>
      </c>
    </row>
    <row r="6" spans="1:16" x14ac:dyDescent="0.3">
      <c r="A6" t="s">
        <v>16</v>
      </c>
      <c r="B6">
        <v>2652</v>
      </c>
      <c r="C6">
        <v>2506.6168059832821</v>
      </c>
      <c r="D6">
        <v>2273</v>
      </c>
      <c r="E6">
        <v>1972.847679324894</v>
      </c>
      <c r="F6">
        <v>2370</v>
      </c>
      <c r="G6">
        <v>45318</v>
      </c>
      <c r="H6">
        <v>10.24537711284699</v>
      </c>
      <c r="I6">
        <v>533.76912665838768</v>
      </c>
      <c r="J6">
        <v>2842.1829484599939</v>
      </c>
      <c r="K6">
        <v>2565.8782422551972</v>
      </c>
      <c r="L6">
        <v>6.7222298371764362</v>
      </c>
      <c r="M6">
        <v>2.0059224232258878E-11</v>
      </c>
      <c r="N6" t="s">
        <v>19</v>
      </c>
      <c r="P6" s="1">
        <f>I6*Итог!$B$2*H6/100</f>
        <v>546866.59938101703</v>
      </c>
    </row>
    <row r="7" spans="1:16" x14ac:dyDescent="0.3">
      <c r="A7" t="s">
        <v>16</v>
      </c>
      <c r="B7">
        <v>1654</v>
      </c>
      <c r="C7">
        <v>3132.3016270337921</v>
      </c>
      <c r="D7">
        <v>799</v>
      </c>
      <c r="E7">
        <v>2507.8864516129029</v>
      </c>
      <c r="F7">
        <v>775</v>
      </c>
      <c r="G7">
        <v>45318</v>
      </c>
      <c r="H7">
        <v>3.4732335937155221</v>
      </c>
      <c r="I7">
        <v>624.41517542088877</v>
      </c>
      <c r="J7">
        <v>3199.6602001424772</v>
      </c>
      <c r="K7">
        <v>2950.5128884516939</v>
      </c>
      <c r="L7">
        <v>4.021739297627466</v>
      </c>
      <c r="M7">
        <v>6.0509708454923598E-5</v>
      </c>
      <c r="N7" t="s">
        <v>19</v>
      </c>
      <c r="P7" s="1">
        <f>I7*Итог!$B$2*H7/100</f>
        <v>216873.97636976017</v>
      </c>
    </row>
    <row r="8" spans="1:16" x14ac:dyDescent="0.3">
      <c r="A8" t="s">
        <v>17</v>
      </c>
      <c r="B8">
        <v>35</v>
      </c>
      <c r="C8">
        <v>2762.2242990654199</v>
      </c>
      <c r="D8">
        <v>214</v>
      </c>
      <c r="E8">
        <v>1508.8350515463919</v>
      </c>
      <c r="F8">
        <v>194</v>
      </c>
      <c r="G8">
        <v>45318</v>
      </c>
      <c r="H8">
        <v>0.90030451476234619</v>
      </c>
      <c r="I8">
        <v>1253.3892475190289</v>
      </c>
      <c r="J8">
        <v>2977.0835472163549</v>
      </c>
      <c r="K8">
        <v>2184.8080940632271</v>
      </c>
      <c r="L8">
        <v>4.8066661954145689</v>
      </c>
      <c r="M8">
        <v>2.1646756758588081E-6</v>
      </c>
      <c r="N8" t="s">
        <v>19</v>
      </c>
      <c r="P8" s="1">
        <f>I8*Итог!$B$2*H8/100</f>
        <v>112843.19982959615</v>
      </c>
    </row>
    <row r="9" spans="1:16" x14ac:dyDescent="0.3">
      <c r="A9" t="s">
        <v>17</v>
      </c>
      <c r="B9">
        <v>34</v>
      </c>
      <c r="C9">
        <v>3104.5066666666671</v>
      </c>
      <c r="D9">
        <v>225</v>
      </c>
      <c r="E9">
        <v>1752.608695652174</v>
      </c>
      <c r="F9">
        <v>253</v>
      </c>
      <c r="G9">
        <v>45318</v>
      </c>
      <c r="H9">
        <v>1.0547685246480429</v>
      </c>
      <c r="I9">
        <v>1351.8979710144929</v>
      </c>
      <c r="J9">
        <v>2956.8269145922541</v>
      </c>
      <c r="K9">
        <v>2529.7007981220472</v>
      </c>
      <c r="L9">
        <v>5.3862649969282721</v>
      </c>
      <c r="M9">
        <v>1.132778513038835E-7</v>
      </c>
      <c r="N9" t="s">
        <v>19</v>
      </c>
      <c r="P9" s="1">
        <f>I9*Итог!$B$2*H9/100</f>
        <v>142593.94283616394</v>
      </c>
    </row>
    <row r="10" spans="1:16" x14ac:dyDescent="0.3">
      <c r="A10" t="s">
        <v>17</v>
      </c>
      <c r="B10">
        <v>33</v>
      </c>
      <c r="C10">
        <v>4598.2198275862074</v>
      </c>
      <c r="D10">
        <v>232</v>
      </c>
      <c r="E10">
        <v>2311.3875968992252</v>
      </c>
      <c r="F10">
        <v>258</v>
      </c>
      <c r="G10">
        <v>45318</v>
      </c>
      <c r="H10">
        <v>1.081248069199876</v>
      </c>
      <c r="I10">
        <v>2286.8322306869818</v>
      </c>
      <c r="J10">
        <v>2931.2349256860789</v>
      </c>
      <c r="K10">
        <v>2371.7712956261339</v>
      </c>
      <c r="L10">
        <v>9.5328379164110402</v>
      </c>
      <c r="M10">
        <v>7.222518974571473E-20</v>
      </c>
      <c r="N10" t="s">
        <v>19</v>
      </c>
      <c r="P10" s="1">
        <f>I10*Итог!$B$2*H10/100</f>
        <v>247263.29340143446</v>
      </c>
    </row>
    <row r="11" spans="1:16" x14ac:dyDescent="0.3">
      <c r="A11" t="s">
        <v>17</v>
      </c>
      <c r="B11">
        <v>36</v>
      </c>
      <c r="C11">
        <v>1987.3282442748091</v>
      </c>
      <c r="D11">
        <v>131</v>
      </c>
      <c r="E11">
        <v>860.41843971631204</v>
      </c>
      <c r="F11">
        <v>141</v>
      </c>
      <c r="G11">
        <v>45318</v>
      </c>
      <c r="H11">
        <v>0.60020300984156405</v>
      </c>
      <c r="I11">
        <v>1126.9098045584969</v>
      </c>
      <c r="J11">
        <v>2718.502663211576</v>
      </c>
      <c r="K11">
        <v>1840.8266394516049</v>
      </c>
      <c r="L11">
        <v>4.0279507279668918</v>
      </c>
      <c r="M11">
        <v>7.318758090993363E-5</v>
      </c>
      <c r="N11" t="s">
        <v>19</v>
      </c>
      <c r="P11" s="1">
        <f>I11*Итог!$B$2*H11/100</f>
        <v>67637.465651597857</v>
      </c>
    </row>
    <row r="12" spans="1:16" x14ac:dyDescent="0.3">
      <c r="A12" t="s">
        <v>18</v>
      </c>
      <c r="B12">
        <v>117</v>
      </c>
      <c r="C12">
        <v>2582.2975999999999</v>
      </c>
      <c r="D12">
        <v>625</v>
      </c>
      <c r="E12">
        <v>2050.6916524701869</v>
      </c>
      <c r="F12">
        <v>587</v>
      </c>
      <c r="G12">
        <v>45318</v>
      </c>
      <c r="H12">
        <v>2.6744339997352049</v>
      </c>
      <c r="I12">
        <v>531.60594752981251</v>
      </c>
      <c r="J12">
        <v>2835.004503186402</v>
      </c>
      <c r="K12">
        <v>2595.7377919626319</v>
      </c>
      <c r="L12">
        <v>3.3981956005701761</v>
      </c>
      <c r="M12">
        <v>7.0038166313428406E-4</v>
      </c>
      <c r="N12" t="s">
        <v>19</v>
      </c>
      <c r="P12" s="1">
        <f>I12*Итог!$B$2*H12/100</f>
        <v>142174.50205351799</v>
      </c>
    </row>
    <row r="13" spans="1:16" x14ac:dyDescent="0.3">
      <c r="A13" t="s">
        <v>18</v>
      </c>
      <c r="B13">
        <v>213</v>
      </c>
      <c r="C13">
        <v>2977.629310344827</v>
      </c>
      <c r="D13">
        <v>232</v>
      </c>
      <c r="E13">
        <v>2277.6117647058818</v>
      </c>
      <c r="F13">
        <v>255</v>
      </c>
      <c r="G13">
        <v>45318</v>
      </c>
      <c r="H13">
        <v>1.074628183061918</v>
      </c>
      <c r="I13">
        <v>700.01754563894519</v>
      </c>
      <c r="J13">
        <v>2905.4943623590038</v>
      </c>
      <c r="K13">
        <v>2710.0434132013179</v>
      </c>
      <c r="L13">
        <v>2.7507518943584151</v>
      </c>
      <c r="M13">
        <v>6.1682152950104652E-3</v>
      </c>
      <c r="N13" t="s">
        <v>19</v>
      </c>
      <c r="P13" s="1">
        <f>I13*Итог!$B$2*H13/100</f>
        <v>75225.858318144295</v>
      </c>
    </row>
    <row r="14" spans="1:16" x14ac:dyDescent="0.3">
      <c r="A14" t="s">
        <v>18</v>
      </c>
      <c r="B14">
        <v>453</v>
      </c>
      <c r="C14">
        <v>2501.9662288930581</v>
      </c>
      <c r="D14">
        <v>1066</v>
      </c>
      <c r="E14">
        <v>1889.9237368922779</v>
      </c>
      <c r="F14">
        <v>1049</v>
      </c>
      <c r="G14">
        <v>45318</v>
      </c>
      <c r="H14">
        <v>4.6670197272606906</v>
      </c>
      <c r="I14">
        <v>612.0424920007797</v>
      </c>
      <c r="J14">
        <v>2993.4425401386889</v>
      </c>
      <c r="K14">
        <v>2648.659303282589</v>
      </c>
      <c r="L14">
        <v>4.976910182958596</v>
      </c>
      <c r="M14">
        <v>6.9832069012744948E-7</v>
      </c>
      <c r="N14" t="s">
        <v>19</v>
      </c>
      <c r="P14" s="1">
        <f>I14*Итог!$B$2*H14/100</f>
        <v>285641.43840894324</v>
      </c>
    </row>
    <row r="15" spans="1:16" x14ac:dyDescent="0.3">
      <c r="A15" t="s">
        <v>18</v>
      </c>
      <c r="B15">
        <v>900</v>
      </c>
      <c r="C15">
        <v>2450.991044776119</v>
      </c>
      <c r="D15">
        <v>335</v>
      </c>
      <c r="E15">
        <v>1689.7917888563049</v>
      </c>
      <c r="F15">
        <v>341</v>
      </c>
      <c r="G15">
        <v>45318</v>
      </c>
      <c r="H15">
        <v>1.4916810097532991</v>
      </c>
      <c r="I15">
        <v>761.1992559198145</v>
      </c>
      <c r="J15">
        <v>2865.6073558468588</v>
      </c>
      <c r="K15">
        <v>2492.4726113410579</v>
      </c>
      <c r="L15">
        <v>3.686913572889702</v>
      </c>
      <c r="M15">
        <v>2.4525342392273602E-4</v>
      </c>
      <c r="N15" t="s">
        <v>19</v>
      </c>
      <c r="P15" s="1">
        <f>I15*Итог!$B$2*H15/100</f>
        <v>113546.64746939289</v>
      </c>
    </row>
    <row r="16" spans="1:16" x14ac:dyDescent="0.3">
      <c r="A16" t="s">
        <v>18</v>
      </c>
      <c r="B16">
        <v>891</v>
      </c>
      <c r="C16">
        <v>2618.949685534591</v>
      </c>
      <c r="D16">
        <v>159</v>
      </c>
      <c r="E16">
        <v>1980.65868263473</v>
      </c>
      <c r="F16">
        <v>167</v>
      </c>
      <c r="G16">
        <v>45318</v>
      </c>
      <c r="H16">
        <v>0.71936096032481578</v>
      </c>
      <c r="I16">
        <v>638.29100289986059</v>
      </c>
      <c r="J16">
        <v>2899.7824641211591</v>
      </c>
      <c r="K16">
        <v>2489.5719421398171</v>
      </c>
      <c r="L16">
        <v>2.135593480676524</v>
      </c>
      <c r="M16">
        <v>3.3462036844691963E-2</v>
      </c>
      <c r="N16" t="s">
        <v>19</v>
      </c>
      <c r="P16" s="1">
        <f>I16*Итог!$B$2*H16/100</f>
        <v>45916.162881273347</v>
      </c>
    </row>
    <row r="17" spans="1:16" x14ac:dyDescent="0.3">
      <c r="A17" t="s">
        <v>18</v>
      </c>
      <c r="B17">
        <v>801</v>
      </c>
      <c r="C17">
        <v>2925.1422222222218</v>
      </c>
      <c r="D17">
        <v>225</v>
      </c>
      <c r="E17">
        <v>2352.283018867925</v>
      </c>
      <c r="F17">
        <v>212</v>
      </c>
      <c r="G17">
        <v>45318</v>
      </c>
      <c r="H17">
        <v>0.96429674742927762</v>
      </c>
      <c r="I17">
        <v>572.85920335429773</v>
      </c>
      <c r="J17">
        <v>2774.2920633734338</v>
      </c>
      <c r="K17">
        <v>2928.285837816507</v>
      </c>
      <c r="L17">
        <v>2.0999906224732121</v>
      </c>
      <c r="M17">
        <v>3.6305006065519063E-2</v>
      </c>
      <c r="N17" t="s">
        <v>19</v>
      </c>
      <c r="P17" s="1">
        <f>I17*Итог!$B$2*H17/100</f>
        <v>55240.626652947649</v>
      </c>
    </row>
    <row r="18" spans="1:16" x14ac:dyDescent="0.3">
      <c r="A18" t="s">
        <v>18</v>
      </c>
      <c r="B18">
        <v>573</v>
      </c>
      <c r="C18">
        <v>2929.0451977401131</v>
      </c>
      <c r="D18">
        <v>177</v>
      </c>
      <c r="E18">
        <v>1641.2125000000001</v>
      </c>
      <c r="F18">
        <v>160</v>
      </c>
      <c r="G18">
        <v>45318</v>
      </c>
      <c r="H18">
        <v>0.74363387616399657</v>
      </c>
      <c r="I18">
        <v>1287.832697740113</v>
      </c>
      <c r="J18">
        <v>3201.0981368955968</v>
      </c>
      <c r="K18">
        <v>2619.0447809502311</v>
      </c>
      <c r="L18">
        <v>4.0165685114334524</v>
      </c>
      <c r="M18">
        <v>7.2940741192307118E-5</v>
      </c>
      <c r="N18" t="s">
        <v>19</v>
      </c>
      <c r="P18" s="1">
        <f>I18*Итог!$B$2*H18/100</f>
        <v>95767.602087121675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"/>
  <sheetViews>
    <sheetView workbookViewId="0">
      <selection activeCell="P2" sqref="P2"/>
    </sheetView>
  </sheetViews>
  <sheetFormatPr defaultRowHeight="14.4" x14ac:dyDescent="0.3"/>
  <cols>
    <col min="15" max="15" width="10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41</v>
      </c>
    </row>
    <row r="2" spans="1:16" x14ac:dyDescent="0.3">
      <c r="A2" t="s">
        <v>20</v>
      </c>
      <c r="B2">
        <v>66</v>
      </c>
      <c r="C2">
        <v>2288.8706240487058</v>
      </c>
      <c r="D2">
        <v>657</v>
      </c>
      <c r="E2">
        <v>2601.7610241820771</v>
      </c>
      <c r="F2">
        <v>703</v>
      </c>
      <c r="G2">
        <v>45318</v>
      </c>
      <c r="H2">
        <v>3.0010150492078198</v>
      </c>
      <c r="I2">
        <v>-312.89040013337029</v>
      </c>
      <c r="J2">
        <v>2682.567610473357</v>
      </c>
      <c r="K2">
        <v>2830.1937733415111</v>
      </c>
      <c r="L2">
        <v>-2.0892718943323438</v>
      </c>
      <c r="M2">
        <v>3.6868999280986532E-2</v>
      </c>
      <c r="N2" t="s">
        <v>22</v>
      </c>
      <c r="P2">
        <f>I2*H2*Итог!$B$2/100</f>
        <v>-93898.879955290075</v>
      </c>
    </row>
    <row r="3" spans="1:16" x14ac:dyDescent="0.3">
      <c r="A3" t="s">
        <v>21</v>
      </c>
      <c r="B3">
        <v>1101</v>
      </c>
      <c r="C3">
        <v>2176.0038216560511</v>
      </c>
      <c r="D3">
        <v>785</v>
      </c>
      <c r="E3">
        <v>2523.5788262370538</v>
      </c>
      <c r="F3">
        <v>869</v>
      </c>
      <c r="G3">
        <v>45318</v>
      </c>
      <c r="H3">
        <v>3.6497638907277459</v>
      </c>
      <c r="I3">
        <v>-347.57500458100321</v>
      </c>
      <c r="J3">
        <v>2722.6244937401748</v>
      </c>
      <c r="K3">
        <v>2960.352337638426</v>
      </c>
      <c r="L3">
        <v>-2.476736308530425</v>
      </c>
      <c r="M3">
        <v>1.3358447618918211E-2</v>
      </c>
      <c r="N3" t="s">
        <v>22</v>
      </c>
      <c r="P3">
        <f>I3*H3*Итог!$B$2/100</f>
        <v>-126856.67010392765</v>
      </c>
    </row>
    <row r="4" spans="1:16" x14ac:dyDescent="0.3">
      <c r="A4" t="s">
        <v>16</v>
      </c>
      <c r="B4">
        <v>9931</v>
      </c>
      <c r="C4">
        <v>1415.7843137254899</v>
      </c>
      <c r="D4">
        <v>153</v>
      </c>
      <c r="E4">
        <v>1968.693430656934</v>
      </c>
      <c r="F4">
        <v>137</v>
      </c>
      <c r="G4">
        <v>45318</v>
      </c>
      <c r="H4">
        <v>0.6399223266693147</v>
      </c>
      <c r="I4">
        <v>-552.90911693144403</v>
      </c>
      <c r="J4">
        <v>2038.164247362319</v>
      </c>
      <c r="K4">
        <v>2403.3978568404668</v>
      </c>
      <c r="L4">
        <v>-2.1191969117156</v>
      </c>
      <c r="M4">
        <v>3.4929468998951767E-2</v>
      </c>
      <c r="N4" t="s">
        <v>22</v>
      </c>
      <c r="P4">
        <f>I4*H4*Итог!$B$2/100</f>
        <v>-35381.888854344586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workbookViewId="0">
      <selection activeCell="G36" sqref="G3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23</v>
      </c>
      <c r="B2">
        <v>2</v>
      </c>
      <c r="C2">
        <v>579.33333333333337</v>
      </c>
      <c r="D2">
        <v>78</v>
      </c>
      <c r="E2">
        <v>483.45070422535213</v>
      </c>
      <c r="F2">
        <v>71</v>
      </c>
      <c r="G2">
        <v>45318</v>
      </c>
      <c r="H2">
        <v>0.32878767818526861</v>
      </c>
      <c r="I2">
        <v>95.882629107981245</v>
      </c>
      <c r="J2">
        <v>1860.762430432972</v>
      </c>
      <c r="K2">
        <v>1654.9231815467831</v>
      </c>
      <c r="L2">
        <v>0.33105243476452068</v>
      </c>
      <c r="M2">
        <v>0.74107631258016438</v>
      </c>
      <c r="N2" t="s">
        <v>31</v>
      </c>
    </row>
    <row r="3" spans="1:14" x14ac:dyDescent="0.3">
      <c r="A3" t="s">
        <v>15</v>
      </c>
      <c r="B3">
        <v>699</v>
      </c>
      <c r="C3">
        <v>2422.286307053942</v>
      </c>
      <c r="D3">
        <v>482</v>
      </c>
      <c r="E3">
        <v>2574.3522267206481</v>
      </c>
      <c r="F3">
        <v>494</v>
      </c>
      <c r="G3">
        <v>45318</v>
      </c>
      <c r="H3">
        <v>2.153669623549141</v>
      </c>
      <c r="I3">
        <v>-152.0659196667057</v>
      </c>
      <c r="J3">
        <v>3906.8178974938178</v>
      </c>
      <c r="K3">
        <v>4082.851355871665</v>
      </c>
      <c r="L3">
        <v>-0.59425382588472897</v>
      </c>
      <c r="M3">
        <v>0.55248035588145294</v>
      </c>
      <c r="N3" t="s">
        <v>31</v>
      </c>
    </row>
    <row r="4" spans="1:14" x14ac:dyDescent="0.3">
      <c r="A4" t="s">
        <v>15</v>
      </c>
      <c r="B4">
        <v>544</v>
      </c>
      <c r="C4">
        <v>2621.4270557029181</v>
      </c>
      <c r="D4">
        <v>377</v>
      </c>
      <c r="E4">
        <v>2635.5480769230771</v>
      </c>
      <c r="F4">
        <v>416</v>
      </c>
      <c r="G4">
        <v>45318</v>
      </c>
      <c r="H4">
        <v>1.749856569133678</v>
      </c>
      <c r="I4">
        <v>-14.12102122015949</v>
      </c>
      <c r="J4">
        <v>3714.8947510376838</v>
      </c>
      <c r="K4">
        <v>4639.820746183972</v>
      </c>
      <c r="L4">
        <v>-4.6997059757738199E-2</v>
      </c>
      <c r="M4">
        <v>0.96252743362660054</v>
      </c>
      <c r="N4" t="s">
        <v>31</v>
      </c>
    </row>
    <row r="5" spans="1:14" x14ac:dyDescent="0.3">
      <c r="A5" t="s">
        <v>15</v>
      </c>
      <c r="B5">
        <v>516</v>
      </c>
      <c r="C5">
        <v>3237.2003154574131</v>
      </c>
      <c r="D5">
        <v>634</v>
      </c>
      <c r="E5">
        <v>2880.48427672956</v>
      </c>
      <c r="F5">
        <v>636</v>
      </c>
      <c r="G5">
        <v>45318</v>
      </c>
      <c r="H5">
        <v>2.802418465069068</v>
      </c>
      <c r="I5">
        <v>356.71603872785317</v>
      </c>
      <c r="J5">
        <v>4537.1038422947831</v>
      </c>
      <c r="K5">
        <v>3819.2928134705749</v>
      </c>
      <c r="L5">
        <v>1.5158873899080001</v>
      </c>
      <c r="M5">
        <v>0.12979706851619149</v>
      </c>
      <c r="N5" t="s">
        <v>31</v>
      </c>
    </row>
    <row r="6" spans="1:14" x14ac:dyDescent="0.3">
      <c r="A6" t="s">
        <v>15</v>
      </c>
      <c r="B6">
        <v>477</v>
      </c>
      <c r="C6">
        <v>2259.623036649215</v>
      </c>
      <c r="D6">
        <v>382</v>
      </c>
      <c r="E6">
        <v>2496.987046632124</v>
      </c>
      <c r="F6">
        <v>386</v>
      </c>
      <c r="G6">
        <v>45318</v>
      </c>
      <c r="H6">
        <v>1.6946908513173571</v>
      </c>
      <c r="I6">
        <v>-237.36400998290989</v>
      </c>
      <c r="J6">
        <v>3482.8460937348018</v>
      </c>
      <c r="K6">
        <v>3881.994718522551</v>
      </c>
      <c r="L6">
        <v>-0.89159336291986235</v>
      </c>
      <c r="M6">
        <v>0.37289090359186522</v>
      </c>
      <c r="N6" t="s">
        <v>31</v>
      </c>
    </row>
    <row r="7" spans="1:14" x14ac:dyDescent="0.3">
      <c r="A7" t="s">
        <v>15</v>
      </c>
      <c r="B7">
        <v>439</v>
      </c>
      <c r="C7">
        <v>2481.9605633802821</v>
      </c>
      <c r="D7">
        <v>355</v>
      </c>
      <c r="E7">
        <v>2400.635327635327</v>
      </c>
      <c r="F7">
        <v>351</v>
      </c>
      <c r="G7">
        <v>45318</v>
      </c>
      <c r="H7">
        <v>1.557879871132883</v>
      </c>
      <c r="I7">
        <v>81.325235744954171</v>
      </c>
      <c r="J7">
        <v>4040.441006810247</v>
      </c>
      <c r="K7">
        <v>3722.11707243604</v>
      </c>
      <c r="L7">
        <v>0.27806735037805058</v>
      </c>
      <c r="M7">
        <v>0.78104230354142801</v>
      </c>
      <c r="N7" t="s">
        <v>31</v>
      </c>
    </row>
    <row r="8" spans="1:14" x14ac:dyDescent="0.3">
      <c r="A8" t="s">
        <v>21</v>
      </c>
      <c r="B8">
        <v>1989</v>
      </c>
      <c r="C8">
        <v>4407.3849372384939</v>
      </c>
      <c r="D8">
        <v>239</v>
      </c>
      <c r="E8">
        <v>4163.9592592592589</v>
      </c>
      <c r="F8">
        <v>270</v>
      </c>
      <c r="G8">
        <v>45318</v>
      </c>
      <c r="H8">
        <v>1.12317401474028</v>
      </c>
      <c r="I8">
        <v>243.42567797923491</v>
      </c>
      <c r="J8">
        <v>2737.9007251199769</v>
      </c>
      <c r="K8">
        <v>2492.0962933115161</v>
      </c>
      <c r="L8">
        <v>1.0499935308392909</v>
      </c>
      <c r="M8">
        <v>0.29422131648059019</v>
      </c>
      <c r="N8" t="s">
        <v>31</v>
      </c>
    </row>
    <row r="9" spans="1:14" x14ac:dyDescent="0.3">
      <c r="A9" t="s">
        <v>24</v>
      </c>
      <c r="B9">
        <v>202</v>
      </c>
      <c r="C9">
        <v>2927.341197822142</v>
      </c>
      <c r="D9">
        <v>551</v>
      </c>
      <c r="E9">
        <v>2730.378761061947</v>
      </c>
      <c r="F9">
        <v>565</v>
      </c>
      <c r="G9">
        <v>45318</v>
      </c>
      <c r="H9">
        <v>2.4625976433205352</v>
      </c>
      <c r="I9">
        <v>196.96243676019461</v>
      </c>
      <c r="J9">
        <v>2956.6862414948778</v>
      </c>
      <c r="K9">
        <v>2737.8857851630241</v>
      </c>
      <c r="L9">
        <v>1.155072918440385</v>
      </c>
      <c r="M9">
        <v>0.24830826390447111</v>
      </c>
      <c r="N9" t="s">
        <v>31</v>
      </c>
    </row>
    <row r="10" spans="1:14" x14ac:dyDescent="0.3">
      <c r="A10" t="s">
        <v>24</v>
      </c>
      <c r="B10">
        <v>278</v>
      </c>
      <c r="C10">
        <v>2499.3457943925232</v>
      </c>
      <c r="D10">
        <v>535</v>
      </c>
      <c r="E10">
        <v>2185.21472392638</v>
      </c>
      <c r="F10">
        <v>489</v>
      </c>
      <c r="G10">
        <v>45318</v>
      </c>
      <c r="H10">
        <v>2.259587801756477</v>
      </c>
      <c r="I10">
        <v>314.13107046614277</v>
      </c>
      <c r="J10">
        <v>2915.9953289536438</v>
      </c>
      <c r="K10">
        <v>2574.9155972376088</v>
      </c>
      <c r="L10">
        <v>1.8202681201948649</v>
      </c>
      <c r="M10">
        <v>6.9010560745835017E-2</v>
      </c>
      <c r="N10" t="s">
        <v>31</v>
      </c>
    </row>
    <row r="11" spans="1:14" x14ac:dyDescent="0.3">
      <c r="A11" t="s">
        <v>24</v>
      </c>
      <c r="B11">
        <v>277</v>
      </c>
      <c r="C11">
        <v>2285.75</v>
      </c>
      <c r="D11">
        <v>708</v>
      </c>
      <c r="E11">
        <v>2431.3653032440061</v>
      </c>
      <c r="F11">
        <v>709</v>
      </c>
      <c r="G11">
        <v>45318</v>
      </c>
      <c r="H11">
        <v>3.126792885829031</v>
      </c>
      <c r="I11">
        <v>-145.61530324400559</v>
      </c>
      <c r="J11">
        <v>2712.6778782628048</v>
      </c>
      <c r="K11">
        <v>2868.587568641391</v>
      </c>
      <c r="L11">
        <v>-0.98170546685316118</v>
      </c>
      <c r="M11">
        <v>0.32641278977933119</v>
      </c>
      <c r="N11" t="s">
        <v>31</v>
      </c>
    </row>
    <row r="12" spans="1:14" x14ac:dyDescent="0.3">
      <c r="A12" t="s">
        <v>24</v>
      </c>
      <c r="B12">
        <v>212</v>
      </c>
      <c r="C12">
        <v>2144.317032040472</v>
      </c>
      <c r="D12">
        <v>593</v>
      </c>
      <c r="E12">
        <v>2222.052173913044</v>
      </c>
      <c r="F12">
        <v>575</v>
      </c>
      <c r="G12">
        <v>45318</v>
      </c>
      <c r="H12">
        <v>2.5773423363784809</v>
      </c>
      <c r="I12">
        <v>-77.735141872571603</v>
      </c>
      <c r="J12">
        <v>2708.58872398012</v>
      </c>
      <c r="K12">
        <v>2785.1162501572289</v>
      </c>
      <c r="L12">
        <v>-0.48358538550993968</v>
      </c>
      <c r="M12">
        <v>0.62877094764054164</v>
      </c>
      <c r="N12" t="s">
        <v>31</v>
      </c>
    </row>
    <row r="13" spans="1:14" x14ac:dyDescent="0.3">
      <c r="A13" t="s">
        <v>24</v>
      </c>
      <c r="B13">
        <v>444</v>
      </c>
      <c r="C13">
        <v>2404.106153846154</v>
      </c>
      <c r="D13">
        <v>650</v>
      </c>
      <c r="E13">
        <v>2545.7348754448399</v>
      </c>
      <c r="F13">
        <v>562</v>
      </c>
      <c r="G13">
        <v>45318</v>
      </c>
      <c r="H13">
        <v>2.6744339997352049</v>
      </c>
      <c r="I13">
        <v>-141.62872159868579</v>
      </c>
      <c r="J13">
        <v>2810.828487354604</v>
      </c>
      <c r="K13">
        <v>2797.1387639335198</v>
      </c>
      <c r="L13">
        <v>-0.87674037193140575</v>
      </c>
      <c r="M13">
        <v>0.38080170010284209</v>
      </c>
      <c r="N13" t="s">
        <v>31</v>
      </c>
    </row>
    <row r="14" spans="1:14" x14ac:dyDescent="0.3">
      <c r="A14" t="s">
        <v>16</v>
      </c>
      <c r="B14">
        <v>9121</v>
      </c>
      <c r="C14">
        <v>1976.854961832061</v>
      </c>
      <c r="D14">
        <v>131</v>
      </c>
      <c r="E14">
        <v>1856.9444444444439</v>
      </c>
      <c r="F14">
        <v>108</v>
      </c>
      <c r="G14">
        <v>45318</v>
      </c>
      <c r="H14">
        <v>0.52738426232402136</v>
      </c>
      <c r="I14">
        <v>119.91051738761669</v>
      </c>
      <c r="J14">
        <v>2605.797427400732</v>
      </c>
      <c r="K14">
        <v>2442.3261657052431</v>
      </c>
      <c r="L14">
        <v>0.36418256697602858</v>
      </c>
      <c r="M14">
        <v>0.71604638423203115</v>
      </c>
      <c r="N14" t="s">
        <v>31</v>
      </c>
    </row>
    <row r="15" spans="1:14" x14ac:dyDescent="0.3">
      <c r="A15" t="s">
        <v>16</v>
      </c>
      <c r="B15">
        <v>2212</v>
      </c>
      <c r="C15">
        <v>2813.168246445498</v>
      </c>
      <c r="D15">
        <v>422</v>
      </c>
      <c r="E15">
        <v>2739.3627204030231</v>
      </c>
      <c r="F15">
        <v>397</v>
      </c>
      <c r="G15">
        <v>45318</v>
      </c>
      <c r="H15">
        <v>1.80722891566265</v>
      </c>
      <c r="I15">
        <v>73.805526042474867</v>
      </c>
      <c r="J15">
        <v>3196.8888606429309</v>
      </c>
      <c r="K15">
        <v>2446.975036181947</v>
      </c>
      <c r="L15">
        <v>0.36933742527752028</v>
      </c>
      <c r="M15">
        <v>0.71197193509754286</v>
      </c>
      <c r="N15" t="s">
        <v>31</v>
      </c>
    </row>
    <row r="16" spans="1:14" x14ac:dyDescent="0.3">
      <c r="A16" t="s">
        <v>16</v>
      </c>
      <c r="B16">
        <v>3786</v>
      </c>
      <c r="C16">
        <v>2613.683544303798</v>
      </c>
      <c r="D16">
        <v>237</v>
      </c>
      <c r="E16">
        <v>2688.2302158273378</v>
      </c>
      <c r="F16">
        <v>278</v>
      </c>
      <c r="G16">
        <v>45318</v>
      </c>
      <c r="H16">
        <v>1.136413787016197</v>
      </c>
      <c r="I16">
        <v>-74.546671523540681</v>
      </c>
      <c r="J16">
        <v>2712.2358586268419</v>
      </c>
      <c r="K16">
        <v>3292.9376410463929</v>
      </c>
      <c r="L16">
        <v>-0.27739869767570208</v>
      </c>
      <c r="M16">
        <v>0.78158572976611407</v>
      </c>
      <c r="N16" t="s">
        <v>31</v>
      </c>
    </row>
    <row r="17" spans="1:14" x14ac:dyDescent="0.3">
      <c r="A17" t="s">
        <v>16</v>
      </c>
      <c r="B17">
        <v>3987</v>
      </c>
      <c r="C17">
        <v>1602.995006242197</v>
      </c>
      <c r="D17">
        <v>801</v>
      </c>
      <c r="E17">
        <v>1639.857324840764</v>
      </c>
      <c r="F17">
        <v>785</v>
      </c>
      <c r="G17">
        <v>45318</v>
      </c>
      <c r="H17">
        <v>3.4997131382673552</v>
      </c>
      <c r="I17">
        <v>-36.862318598567072</v>
      </c>
      <c r="J17">
        <v>2518.8292052013039</v>
      </c>
      <c r="K17">
        <v>2686.3174166097911</v>
      </c>
      <c r="L17">
        <v>-0.28196520087867383</v>
      </c>
      <c r="M17">
        <v>0.77800702736032645</v>
      </c>
      <c r="N17" t="s">
        <v>31</v>
      </c>
    </row>
    <row r="18" spans="1:14" x14ac:dyDescent="0.3">
      <c r="A18" t="s">
        <v>16</v>
      </c>
      <c r="B18">
        <v>6543</v>
      </c>
      <c r="C18">
        <v>1702.439577039275</v>
      </c>
      <c r="D18">
        <v>662</v>
      </c>
      <c r="E18">
        <v>1528.3251088534109</v>
      </c>
      <c r="F18">
        <v>689</v>
      </c>
      <c r="G18">
        <v>45318</v>
      </c>
      <c r="H18">
        <v>2.981155390793945</v>
      </c>
      <c r="I18">
        <v>174.1144681858643</v>
      </c>
      <c r="J18">
        <v>2453.90171737833</v>
      </c>
      <c r="K18">
        <v>2338.5220633259451</v>
      </c>
      <c r="L18">
        <v>1.335377321119084</v>
      </c>
      <c r="M18">
        <v>0.18197815948321541</v>
      </c>
      <c r="N18" t="s">
        <v>31</v>
      </c>
    </row>
    <row r="19" spans="1:14" x14ac:dyDescent="0.3">
      <c r="A19" t="s">
        <v>16</v>
      </c>
      <c r="B19">
        <v>8543</v>
      </c>
      <c r="C19">
        <v>1859.7770270270271</v>
      </c>
      <c r="D19">
        <v>148</v>
      </c>
      <c r="E19">
        <v>1804.25</v>
      </c>
      <c r="F19">
        <v>140</v>
      </c>
      <c r="G19">
        <v>45318</v>
      </c>
      <c r="H19">
        <v>0.63550906924400907</v>
      </c>
      <c r="I19">
        <v>55.527027027027088</v>
      </c>
      <c r="J19">
        <v>2568.980429381174</v>
      </c>
      <c r="K19">
        <v>3015.726630467726</v>
      </c>
      <c r="L19">
        <v>0.16850596566670989</v>
      </c>
      <c r="M19">
        <v>0.86630435550570684</v>
      </c>
      <c r="N19" t="s">
        <v>31</v>
      </c>
    </row>
    <row r="20" spans="1:14" x14ac:dyDescent="0.3">
      <c r="A20" t="s">
        <v>25</v>
      </c>
      <c r="B20">
        <v>55</v>
      </c>
      <c r="C20">
        <v>2109.1066350710898</v>
      </c>
      <c r="D20">
        <v>422</v>
      </c>
      <c r="E20">
        <v>2111.2729411764708</v>
      </c>
      <c r="F20">
        <v>425</v>
      </c>
      <c r="G20">
        <v>45318</v>
      </c>
      <c r="H20">
        <v>1.869014519616929</v>
      </c>
      <c r="I20">
        <v>-2.1663061053809538</v>
      </c>
      <c r="J20">
        <v>2790.9933852461809</v>
      </c>
      <c r="K20">
        <v>2804.223188242755</v>
      </c>
      <c r="L20">
        <v>-1.126774587434534E-2</v>
      </c>
      <c r="M20">
        <v>0.99101248941204068</v>
      </c>
      <c r="N20" t="s">
        <v>31</v>
      </c>
    </row>
    <row r="21" spans="1:14" x14ac:dyDescent="0.3">
      <c r="A21" t="s">
        <v>25</v>
      </c>
      <c r="B21">
        <v>54</v>
      </c>
      <c r="C21">
        <v>1702.7140600315961</v>
      </c>
      <c r="D21">
        <v>633</v>
      </c>
      <c r="E21">
        <v>1688.5125</v>
      </c>
      <c r="F21">
        <v>640</v>
      </c>
      <c r="G21">
        <v>45318</v>
      </c>
      <c r="H21">
        <v>2.8090383512070258</v>
      </c>
      <c r="I21">
        <v>14.201560031595591</v>
      </c>
      <c r="J21">
        <v>2565.1324395339639</v>
      </c>
      <c r="K21">
        <v>2628.0124903233959</v>
      </c>
      <c r="L21">
        <v>9.7555656950156625E-2</v>
      </c>
      <c r="M21">
        <v>0.92230051833342097</v>
      </c>
      <c r="N21" t="s">
        <v>31</v>
      </c>
    </row>
    <row r="22" spans="1:14" x14ac:dyDescent="0.3">
      <c r="A22" t="s">
        <v>18</v>
      </c>
      <c r="B22">
        <v>112</v>
      </c>
      <c r="C22">
        <v>2488.1150306748468</v>
      </c>
      <c r="D22">
        <v>652</v>
      </c>
      <c r="E22">
        <v>2218.6368960468521</v>
      </c>
      <c r="F22">
        <v>683</v>
      </c>
      <c r="G22">
        <v>45318</v>
      </c>
      <c r="H22">
        <v>2.9458493313915</v>
      </c>
      <c r="I22">
        <v>269.47813462799468</v>
      </c>
      <c r="J22">
        <v>2778.1791825699379</v>
      </c>
      <c r="K22">
        <v>2780.7906600356778</v>
      </c>
      <c r="L22">
        <v>1.770712015951776</v>
      </c>
      <c r="M22">
        <v>7.6837103037525487E-2</v>
      </c>
      <c r="N22" t="s">
        <v>31</v>
      </c>
    </row>
    <row r="23" spans="1:14" x14ac:dyDescent="0.3">
      <c r="A23" t="s">
        <v>18</v>
      </c>
      <c r="B23">
        <v>394</v>
      </c>
      <c r="C23">
        <v>1229.6442307692309</v>
      </c>
      <c r="D23">
        <v>104</v>
      </c>
      <c r="E23">
        <v>973.62352941176471</v>
      </c>
      <c r="F23">
        <v>85</v>
      </c>
      <c r="G23">
        <v>45318</v>
      </c>
      <c r="H23">
        <v>0.41705282669138088</v>
      </c>
      <c r="I23">
        <v>256.02070135746601</v>
      </c>
      <c r="J23">
        <v>2208.227839827166</v>
      </c>
      <c r="K23">
        <v>1940.8548250244601</v>
      </c>
      <c r="L23">
        <v>0.83682539191105032</v>
      </c>
      <c r="M23">
        <v>0.40375884675107337</v>
      </c>
      <c r="N23" t="s">
        <v>31</v>
      </c>
    </row>
    <row r="24" spans="1:14" x14ac:dyDescent="0.3">
      <c r="A24" t="s">
        <v>18</v>
      </c>
      <c r="B24">
        <v>576</v>
      </c>
      <c r="C24">
        <v>1594.436507936508</v>
      </c>
      <c r="D24">
        <v>630</v>
      </c>
      <c r="E24">
        <v>1342.1293759512939</v>
      </c>
      <c r="F24">
        <v>657</v>
      </c>
      <c r="G24">
        <v>45318</v>
      </c>
      <c r="H24">
        <v>2.8399311531841649</v>
      </c>
      <c r="I24">
        <v>252.30713198521431</v>
      </c>
      <c r="J24">
        <v>2683.7272105777479</v>
      </c>
      <c r="K24">
        <v>2415.8226638760798</v>
      </c>
      <c r="L24">
        <v>1.7740729896541769</v>
      </c>
      <c r="M24">
        <v>7.6287833758135845E-2</v>
      </c>
      <c r="N24" t="s">
        <v>31</v>
      </c>
    </row>
    <row r="25" spans="1:14" x14ac:dyDescent="0.3">
      <c r="A25" t="s">
        <v>18</v>
      </c>
      <c r="B25">
        <v>309</v>
      </c>
      <c r="C25">
        <v>2706.2791666666672</v>
      </c>
      <c r="D25">
        <v>240</v>
      </c>
      <c r="E25">
        <v>2392.8949579831929</v>
      </c>
      <c r="F25">
        <v>238</v>
      </c>
      <c r="G25">
        <v>45318</v>
      </c>
      <c r="H25">
        <v>1.0547685246480429</v>
      </c>
      <c r="I25">
        <v>313.38420868347339</v>
      </c>
      <c r="J25">
        <v>2814.9398488604029</v>
      </c>
      <c r="K25">
        <v>2761.9387158176178</v>
      </c>
      <c r="L25">
        <v>1.228454613597767</v>
      </c>
      <c r="M25">
        <v>0.21988338416718481</v>
      </c>
      <c r="N25" t="s">
        <v>31</v>
      </c>
    </row>
    <row r="26" spans="1:14" x14ac:dyDescent="0.3">
      <c r="A26" t="s">
        <v>26</v>
      </c>
      <c r="B26">
        <v>82</v>
      </c>
      <c r="C26">
        <v>2586.0118343195272</v>
      </c>
      <c r="D26">
        <v>169</v>
      </c>
      <c r="E26">
        <v>2655.6724890829701</v>
      </c>
      <c r="F26">
        <v>229</v>
      </c>
      <c r="G26">
        <v>45318</v>
      </c>
      <c r="H26">
        <v>0.87823822763581794</v>
      </c>
      <c r="I26">
        <v>-69.660654763442835</v>
      </c>
      <c r="J26">
        <v>2676.435562700452</v>
      </c>
      <c r="K26">
        <v>2929.363686396488</v>
      </c>
      <c r="L26">
        <v>-0.2431728557168128</v>
      </c>
      <c r="M26">
        <v>0.80799740556960564</v>
      </c>
      <c r="N26" t="s">
        <v>31</v>
      </c>
    </row>
    <row r="27" spans="1:14" x14ac:dyDescent="0.3">
      <c r="A27" t="s">
        <v>26</v>
      </c>
      <c r="B27">
        <v>80</v>
      </c>
      <c r="C27">
        <v>2517.3305687203788</v>
      </c>
      <c r="D27">
        <v>844</v>
      </c>
      <c r="E27">
        <v>2511.9727272727268</v>
      </c>
      <c r="F27">
        <v>880</v>
      </c>
      <c r="G27">
        <v>45318</v>
      </c>
      <c r="H27">
        <v>3.804227900613443</v>
      </c>
      <c r="I27">
        <v>5.3578414476519356</v>
      </c>
      <c r="J27">
        <v>2797.1230332386049</v>
      </c>
      <c r="K27">
        <v>2824.7199322235629</v>
      </c>
      <c r="L27">
        <v>3.9558086467205961E-2</v>
      </c>
      <c r="M27">
        <v>0.96845002895143795</v>
      </c>
      <c r="N27" t="s">
        <v>31</v>
      </c>
    </row>
    <row r="28" spans="1:14" x14ac:dyDescent="0.3">
      <c r="A28" t="s">
        <v>27</v>
      </c>
      <c r="B28">
        <v>69</v>
      </c>
      <c r="C28">
        <v>1171.4533333333329</v>
      </c>
      <c r="D28">
        <v>75</v>
      </c>
      <c r="E28">
        <v>600.15384615384619</v>
      </c>
      <c r="F28">
        <v>78</v>
      </c>
      <c r="G28">
        <v>45318</v>
      </c>
      <c r="H28">
        <v>0.33761419303587981</v>
      </c>
      <c r="I28">
        <v>571.29948717948719</v>
      </c>
      <c r="J28">
        <v>2578.1041027632468</v>
      </c>
      <c r="K28">
        <v>1690.139755052342</v>
      </c>
      <c r="L28">
        <v>1.6270604929283119</v>
      </c>
      <c r="M28">
        <v>0.105809212549273</v>
      </c>
      <c r="N28" t="s">
        <v>31</v>
      </c>
    </row>
    <row r="29" spans="1:14" x14ac:dyDescent="0.3">
      <c r="A29" t="s">
        <v>28</v>
      </c>
      <c r="B29">
        <v>73</v>
      </c>
      <c r="C29">
        <v>2092.181818181818</v>
      </c>
      <c r="D29">
        <v>187</v>
      </c>
      <c r="E29">
        <v>2521.958083832335</v>
      </c>
      <c r="F29">
        <v>167</v>
      </c>
      <c r="G29">
        <v>45318</v>
      </c>
      <c r="H29">
        <v>0.78114656427909435</v>
      </c>
      <c r="I29">
        <v>-429.77626565051742</v>
      </c>
      <c r="J29">
        <v>2530.274648080996</v>
      </c>
      <c r="K29">
        <v>2875.4596329355918</v>
      </c>
      <c r="L29">
        <v>-1.4958446791905911</v>
      </c>
      <c r="M29">
        <v>0.13559014690618429</v>
      </c>
      <c r="N29" t="s">
        <v>31</v>
      </c>
    </row>
    <row r="30" spans="1:14" x14ac:dyDescent="0.3">
      <c r="A30" t="s">
        <v>28</v>
      </c>
      <c r="B30">
        <v>72</v>
      </c>
      <c r="C30">
        <v>2371.4334975369461</v>
      </c>
      <c r="D30">
        <v>609</v>
      </c>
      <c r="E30">
        <v>2523.3755868544599</v>
      </c>
      <c r="F30">
        <v>639</v>
      </c>
      <c r="G30">
        <v>45318</v>
      </c>
      <c r="H30">
        <v>2.753872633390706</v>
      </c>
      <c r="I30">
        <v>-151.9420893175143</v>
      </c>
      <c r="J30">
        <v>2906.824457531342</v>
      </c>
      <c r="K30">
        <v>2795.917175533607</v>
      </c>
      <c r="L30">
        <v>-0.94123363535756777</v>
      </c>
      <c r="M30">
        <v>0.34676758520412099</v>
      </c>
      <c r="N30" t="s">
        <v>31</v>
      </c>
    </row>
    <row r="31" spans="1:14" x14ac:dyDescent="0.3">
      <c r="A31" t="s">
        <v>29</v>
      </c>
      <c r="B31">
        <v>88</v>
      </c>
      <c r="C31">
        <v>2902.410526315789</v>
      </c>
      <c r="D31">
        <v>190</v>
      </c>
      <c r="E31">
        <v>2439.4610778443121</v>
      </c>
      <c r="F31">
        <v>167</v>
      </c>
      <c r="G31">
        <v>45318</v>
      </c>
      <c r="H31">
        <v>0.78776645041705273</v>
      </c>
      <c r="I31">
        <v>462.94944847147781</v>
      </c>
      <c r="J31">
        <v>3074.6488868920269</v>
      </c>
      <c r="K31">
        <v>2689.343053091382</v>
      </c>
      <c r="L31">
        <v>1.5045563456740749</v>
      </c>
      <c r="M31">
        <v>0.13332732467102049</v>
      </c>
      <c r="N31" t="s">
        <v>31</v>
      </c>
    </row>
    <row r="32" spans="1:14" x14ac:dyDescent="0.3">
      <c r="A32" t="s">
        <v>30</v>
      </c>
      <c r="B32">
        <v>19</v>
      </c>
      <c r="C32">
        <v>2043.823076923077</v>
      </c>
      <c r="D32">
        <v>130</v>
      </c>
      <c r="E32">
        <v>1743.3767123287671</v>
      </c>
      <c r="F32">
        <v>146</v>
      </c>
      <c r="G32">
        <v>45318</v>
      </c>
      <c r="H32">
        <v>0.60902952469217531</v>
      </c>
      <c r="I32">
        <v>300.4463645943099</v>
      </c>
      <c r="J32">
        <v>2442.2667875313759</v>
      </c>
      <c r="K32">
        <v>2891.333359375938</v>
      </c>
      <c r="L32">
        <v>0.92645906346779439</v>
      </c>
      <c r="M32">
        <v>0.35502276486047568</v>
      </c>
      <c r="N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</vt:lpstr>
      <vt:lpstr>положительный_исход</vt:lpstr>
      <vt:lpstr>отрицательный_исход</vt:lpstr>
      <vt:lpstr>нейтральный_исход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Даниил Чумакин</cp:lastModifiedBy>
  <dcterms:created xsi:type="dcterms:W3CDTF">2026-07-18T08:40:49Z</dcterms:created>
  <dcterms:modified xsi:type="dcterms:W3CDTF">2026-07-18T14:26:57Z</dcterms:modified>
</cp:coreProperties>
</file>